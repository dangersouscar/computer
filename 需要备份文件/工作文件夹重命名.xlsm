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esktop\"/>
    </mc:Choice>
  </mc:AlternateContent>
  <bookViews>
    <workbookView xWindow="0" yWindow="0" windowWidth="20490" windowHeight="7770" tabRatio="747" activeTab="9"/>
  </bookViews>
  <sheets>
    <sheet name="每月任务" sheetId="36" r:id="rId1"/>
    <sheet name="点收单记录表" sheetId="10" state="hidden" r:id="rId2"/>
    <sheet name="审批表模板" sheetId="26" r:id="rId3"/>
    <sheet name="重命名文件夹" sheetId="6" r:id="rId4"/>
    <sheet name="重命名文件夹下文件" sheetId="4" r:id="rId5"/>
    <sheet name="日常文件" sheetId="8" state="hidden" r:id="rId6"/>
    <sheet name="柴油模板" sheetId="23" state="hidden" r:id="rId7"/>
    <sheet name="帕德码大桥" sheetId="33" r:id="rId8"/>
    <sheet name="1" sheetId="27" r:id="rId9"/>
    <sheet name="钢护筒换算" sheetId="30" r:id="rId10"/>
    <sheet name="3" sheetId="29" r:id="rId11"/>
    <sheet name="4" sheetId="22" r:id="rId12"/>
    <sheet name="5" sheetId="32" r:id="rId13"/>
    <sheet name="6" sheetId="37" r:id="rId14"/>
    <sheet name="7" sheetId="38" r:id="rId15"/>
    <sheet name="8" sheetId="39" r:id="rId16"/>
    <sheet name="9" sheetId="35" r:id="rId17"/>
    <sheet name="柴油换算" sheetId="9" r:id="rId18"/>
    <sheet name="Sheet1" sheetId="42" r:id="rId19"/>
  </sheets>
  <definedNames>
    <definedName name="_xlnm._FilterDatabase" localSheetId="8" hidden="1">'1'!$A$1:$G$59</definedName>
    <definedName name="_xlnm._FilterDatabase" localSheetId="10" hidden="1">'3'!$A$1:$D$9</definedName>
    <definedName name="_xlnm._FilterDatabase" localSheetId="15" hidden="1">'8'!$G$3:$J$18</definedName>
    <definedName name="_xlnm._FilterDatabase" localSheetId="16" hidden="1">'9'!#REF!</definedName>
    <definedName name="_xlnm._FilterDatabase" localSheetId="18" hidden="1">Sheet1!$A$1:$O$1</definedName>
    <definedName name="_xlnm._FilterDatabase" localSheetId="1" hidden="1">点收单记录表!$A$3:$L$24</definedName>
    <definedName name="_xlnm._FilterDatabase" localSheetId="7" hidden="1">帕德码大桥!$A$1:$E$1</definedName>
    <definedName name="_xlnm._FilterDatabase" localSheetId="5" hidden="1">日常文件!$A$1:$E$1</definedName>
    <definedName name="_xlnm._FilterDatabase" localSheetId="3" hidden="1">重命名文件夹!$A$1:$B$190</definedName>
    <definedName name="_xlnm._FilterDatabase" localSheetId="4" hidden="1">重命名文件夹下文件!$A$1:$F$106</definedName>
    <definedName name="_xlnm.Print_Area" localSheetId="2">审批表模板!$B$1:$H$18</definedName>
  </definedNames>
  <calcPr calcId="152511"/>
  <pivotCaches>
    <pivotCache cacheId="3" r:id="rId20"/>
    <pivotCache cacheId="4" r:id="rId21"/>
    <pivotCache cacheId="5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9" l="1"/>
  <c r="I10" i="9" l="1"/>
  <c r="D6" i="30" l="1"/>
  <c r="F6" i="30" s="1"/>
  <c r="D5" i="30"/>
  <c r="F5" i="30"/>
  <c r="G5" i="30"/>
  <c r="D4" i="30"/>
  <c r="F4" i="30"/>
  <c r="G4" i="30"/>
  <c r="D3" i="30"/>
  <c r="F3" i="30"/>
  <c r="G3" i="30"/>
  <c r="I9" i="9"/>
  <c r="K3" i="39"/>
  <c r="K18" i="39"/>
  <c r="D10" i="32"/>
  <c r="K1" i="37"/>
  <c r="B3" i="37"/>
  <c r="C3" i="37"/>
  <c r="A4" i="37"/>
  <c r="G10" i="37"/>
  <c r="N11" i="37"/>
  <c r="D2" i="30"/>
  <c r="F2" i="30"/>
  <c r="K2" i="30"/>
  <c r="J28" i="39"/>
  <c r="H28" i="39"/>
  <c r="I8" i="9"/>
  <c r="K10" i="39"/>
  <c r="F10" i="39"/>
  <c r="F7" i="39"/>
  <c r="H6" i="39"/>
  <c r="H9" i="39"/>
  <c r="H12" i="39"/>
  <c r="H15" i="39"/>
  <c r="H18" i="39"/>
  <c r="J6" i="39"/>
  <c r="J9" i="39"/>
  <c r="J12" i="39"/>
  <c r="J15" i="39"/>
  <c r="J18" i="39"/>
  <c r="I7" i="9"/>
  <c r="I6" i="9"/>
  <c r="K2" i="9"/>
  <c r="I5" i="9"/>
  <c r="H1" i="33"/>
  <c r="H2" i="33"/>
  <c r="I4" i="9"/>
  <c r="F4" i="8"/>
  <c r="K9" i="23"/>
  <c r="K10" i="23"/>
  <c r="E6" i="23"/>
  <c r="C6" i="23"/>
  <c r="B6" i="23"/>
  <c r="F6" i="23"/>
  <c r="E9" i="23"/>
  <c r="C9" i="23"/>
  <c r="B9" i="23"/>
  <c r="F9" i="23"/>
  <c r="E10" i="23"/>
  <c r="C10" i="23"/>
  <c r="B10" i="23"/>
  <c r="F10" i="23"/>
  <c r="K3" i="23"/>
  <c r="K4" i="23"/>
  <c r="K5" i="23"/>
  <c r="K6" i="23"/>
  <c r="K7" i="23"/>
  <c r="K8" i="23"/>
  <c r="K2" i="23"/>
  <c r="E3" i="23"/>
  <c r="C3" i="23"/>
  <c r="B3" i="23"/>
  <c r="F3" i="23"/>
  <c r="E4" i="23"/>
  <c r="C4" i="23"/>
  <c r="B4" i="23"/>
  <c r="F4" i="23"/>
  <c r="E5" i="23"/>
  <c r="C5" i="23"/>
  <c r="B5" i="23"/>
  <c r="F5" i="23"/>
  <c r="E7" i="23"/>
  <c r="C7" i="23"/>
  <c r="B7" i="23"/>
  <c r="F7" i="23"/>
  <c r="E8" i="23"/>
  <c r="C8" i="23"/>
  <c r="B8" i="23"/>
  <c r="F8" i="23"/>
  <c r="E2" i="23"/>
  <c r="C2" i="23"/>
  <c r="B2" i="23"/>
  <c r="F2" i="23"/>
  <c r="G16" i="26"/>
  <c r="D16" i="26" s="1"/>
  <c r="G6" i="30" l="1"/>
  <c r="F7" i="30"/>
  <c r="H7" i="30" s="1"/>
</calcChain>
</file>

<file path=xl/sharedStrings.xml><?xml version="1.0" encoding="utf-8"?>
<sst xmlns="http://schemas.openxmlformats.org/spreadsheetml/2006/main" count="1147" uniqueCount="474">
  <si>
    <t>提取文件所在路径：</t>
    <phoneticPr fontId="1" type="noConversion"/>
  </si>
  <si>
    <t>提取文件夹路径：</t>
    <phoneticPr fontId="1" type="noConversion"/>
  </si>
  <si>
    <t>出库</t>
    <phoneticPr fontId="1" type="noConversion"/>
  </si>
  <si>
    <t>福平铁路发票台账（物资部2016年10月始）.xls</t>
    <phoneticPr fontId="1" type="noConversion"/>
  </si>
  <si>
    <t>点收单</t>
    <phoneticPr fontId="8" type="noConversion"/>
  </si>
  <si>
    <t>走系统</t>
    <phoneticPr fontId="8" type="noConversion"/>
  </si>
  <si>
    <t>系统审批单</t>
    <phoneticPr fontId="8" type="noConversion"/>
  </si>
  <si>
    <t>发票查验记录</t>
    <phoneticPr fontId="8" type="noConversion"/>
  </si>
  <si>
    <t>走共享系统</t>
    <phoneticPr fontId="8" type="noConversion"/>
  </si>
  <si>
    <t>共享系统审批表</t>
    <phoneticPr fontId="8" type="noConversion"/>
  </si>
  <si>
    <t>交财务</t>
    <phoneticPr fontId="8" type="noConversion"/>
  </si>
  <si>
    <t>运费结算审批表</t>
    <phoneticPr fontId="1" type="noConversion"/>
  </si>
  <si>
    <t>收发存合计版本（点收合计修）确定版.xls</t>
    <phoneticPr fontId="1" type="noConversion"/>
  </si>
  <si>
    <t>点收</t>
    <phoneticPr fontId="1" type="noConversion"/>
  </si>
  <si>
    <t xml:space="preserve">项目经理（常务副经理）:              常务副书记:              部门负责人:                   库管员: </t>
    <phoneticPr fontId="15" type="noConversion"/>
  </si>
  <si>
    <t>.</t>
  </si>
  <si>
    <t>合计（人民币）：</t>
  </si>
  <si>
    <t>金额</t>
  </si>
  <si>
    <t>款项</t>
  </si>
  <si>
    <t>发票</t>
  </si>
  <si>
    <t xml:space="preserve">单位 </t>
  </si>
  <si>
    <t>日期</t>
  </si>
  <si>
    <t>备  注</t>
  </si>
  <si>
    <t>单据张数</t>
  </si>
  <si>
    <t>发票金额</t>
  </si>
  <si>
    <t>款   项</t>
  </si>
  <si>
    <t>开票日期</t>
  </si>
  <si>
    <t>发票号</t>
  </si>
  <si>
    <t>序号</t>
  </si>
  <si>
    <t>单位名称：</t>
  </si>
  <si>
    <t>发票审批表</t>
  </si>
  <si>
    <t>中铁大桥局五公司福平铁路FPZQ-3标项目经理部</t>
  </si>
  <si>
    <t>2018年4月4日</t>
  </si>
  <si>
    <t>福州赛华商贸有限公司</t>
  </si>
  <si>
    <t>发票号：03502371-6/6张</t>
  </si>
  <si>
    <t>福州赛华商贸有限公司</t>
    <phoneticPr fontId="1" type="noConversion"/>
  </si>
  <si>
    <t>03502371-6/6张</t>
    <phoneticPr fontId="15" type="noConversion"/>
  </si>
  <si>
    <t>碎石</t>
    <phoneticPr fontId="1" type="noConversion"/>
  </si>
  <si>
    <t>2018年4月4日</t>
    <phoneticPr fontId="1" type="noConversion"/>
  </si>
  <si>
    <t>序号</t>
    <phoneticPr fontId="8" type="noConversion"/>
  </si>
  <si>
    <t>公司名称</t>
    <phoneticPr fontId="8" type="noConversion"/>
  </si>
  <si>
    <t>签字</t>
    <phoneticPr fontId="8" type="noConversion"/>
  </si>
  <si>
    <t>数量</t>
    <phoneticPr fontId="1" type="noConversion"/>
  </si>
  <si>
    <t>单价</t>
    <phoneticPr fontId="1" type="noConversion"/>
  </si>
  <si>
    <t>金额</t>
    <phoneticPr fontId="1" type="noConversion"/>
  </si>
  <si>
    <t>金额不含税</t>
    <phoneticPr fontId="1" type="noConversion"/>
  </si>
  <si>
    <t>ME</t>
    <phoneticPr fontId="1" type="noConversion"/>
  </si>
  <si>
    <t>账务</t>
    <phoneticPr fontId="1" type="noConversion"/>
  </si>
  <si>
    <t>接收文件</t>
    <phoneticPr fontId="1" type="noConversion"/>
  </si>
  <si>
    <t>数量</t>
  </si>
  <si>
    <t>单价</t>
  </si>
  <si>
    <t>金额</t>
    <phoneticPr fontId="1" type="noConversion"/>
  </si>
  <si>
    <t>行标签</t>
  </si>
  <si>
    <t>总计</t>
  </si>
  <si>
    <t>求和项:数量</t>
  </si>
  <si>
    <t>求和项:金额</t>
  </si>
  <si>
    <t xml:space="preserve"> </t>
    <phoneticPr fontId="1" type="noConversion"/>
  </si>
  <si>
    <t>jy</t>
    <phoneticPr fontId="1" type="noConversion"/>
  </si>
  <si>
    <t>2018.8用料单.xlsx</t>
    <phoneticPr fontId="1" type="noConversion"/>
  </si>
  <si>
    <t xml:space="preserve"> </t>
    <phoneticPr fontId="1" type="noConversion"/>
  </si>
  <si>
    <t>2018.10月主材库点收单.xlsx</t>
  </si>
  <si>
    <t>2018.10月审批单.xlsx</t>
  </si>
  <si>
    <t>2018.10月建材库点收单.xlsx</t>
  </si>
  <si>
    <t>2018.10月综合库点收单.xlsx</t>
  </si>
  <si>
    <t>中石油铁工油品销售有限公司—柴油2819320</t>
  </si>
  <si>
    <t>湖北华洋建设工程管理有限公司—爬锥锥体等58514</t>
  </si>
  <si>
    <t>上海君威钢绳索具有限公司—可调拉杆等234080</t>
  </si>
  <si>
    <t>南京源潮金属制品有限公司—镀锌钢脚手板314500</t>
  </si>
  <si>
    <t>厦门富深商贸有限公司—机电料1897362</t>
  </si>
  <si>
    <t>G:\发票结果查询\7月</t>
  </si>
  <si>
    <t>江西天益盛贸易有限公司—粉煤灰179866.84</t>
    <phoneticPr fontId="8" type="noConversion"/>
  </si>
  <si>
    <t>中铁大桥（郑州）缆索有限公司—钢丝拉索1501452</t>
    <phoneticPr fontId="8" type="noConversion"/>
  </si>
  <si>
    <t>1.调拨单（丽香铁路项目部）</t>
  </si>
  <si>
    <t>2.调拨单（金海桥项目部）</t>
  </si>
  <si>
    <t>3.调拨单（金海桥项目部）</t>
  </si>
  <si>
    <t>4.调拨单（金海桥项目部）</t>
  </si>
  <si>
    <t>5.调拨（福清兴化湾海上风电场一期项目部）</t>
  </si>
  <si>
    <t>创建文件夹</t>
    <phoneticPr fontId="8" type="noConversion"/>
  </si>
  <si>
    <t>碎石</t>
    <phoneticPr fontId="1" type="noConversion"/>
  </si>
  <si>
    <t>挖机</t>
    <phoneticPr fontId="8" type="noConversion"/>
  </si>
  <si>
    <t>25t汽车吊</t>
    <phoneticPr fontId="8" type="noConversion"/>
  </si>
  <si>
    <t>50t履带吊</t>
    <phoneticPr fontId="8" type="noConversion"/>
  </si>
  <si>
    <t>55t履带吊</t>
    <phoneticPr fontId="8" type="noConversion"/>
  </si>
  <si>
    <t>50t汽车吊</t>
    <phoneticPr fontId="8" type="noConversion"/>
  </si>
  <si>
    <t>山桥</t>
    <phoneticPr fontId="8" type="noConversion"/>
  </si>
  <si>
    <r>
      <t>1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t履带吊</t>
    </r>
    <phoneticPr fontId="8" type="noConversion"/>
  </si>
  <si>
    <t>外租</t>
    <phoneticPr fontId="8" type="noConversion"/>
  </si>
  <si>
    <t>160t履带吊</t>
    <phoneticPr fontId="8" type="noConversion"/>
  </si>
  <si>
    <t>旧</t>
    <phoneticPr fontId="8" type="noConversion"/>
  </si>
  <si>
    <t>180t履带吊</t>
    <phoneticPr fontId="8" type="noConversion"/>
  </si>
  <si>
    <r>
      <t>1</t>
    </r>
    <r>
      <rPr>
        <sz val="10"/>
        <rFont val="宋体"/>
        <family val="3"/>
        <charset val="134"/>
      </rPr>
      <t>00</t>
    </r>
    <r>
      <rPr>
        <sz val="10"/>
        <rFont val="宋体"/>
        <family val="3"/>
        <charset val="134"/>
      </rPr>
      <t>t履带吊</t>
    </r>
    <phoneticPr fontId="8" type="noConversion"/>
  </si>
  <si>
    <t>装载机</t>
    <phoneticPr fontId="8" type="noConversion"/>
  </si>
  <si>
    <t>搅拌车</t>
    <phoneticPr fontId="8" type="noConversion"/>
  </si>
  <si>
    <t>1#</t>
  </si>
  <si>
    <t>2#</t>
  </si>
  <si>
    <t>3#</t>
  </si>
  <si>
    <t>4#</t>
    <phoneticPr fontId="8" type="noConversion"/>
  </si>
  <si>
    <t>5#</t>
    <phoneticPr fontId="8" type="noConversion"/>
  </si>
  <si>
    <t>6#</t>
    <phoneticPr fontId="8" type="noConversion"/>
  </si>
  <si>
    <t>钢筋车间</t>
    <phoneticPr fontId="8" type="noConversion"/>
  </si>
  <si>
    <t>天泵</t>
    <phoneticPr fontId="8" type="noConversion"/>
  </si>
  <si>
    <t>四公司</t>
    <phoneticPr fontId="8" type="noConversion"/>
  </si>
  <si>
    <t>皮卡车</t>
    <phoneticPr fontId="8" type="noConversion"/>
  </si>
  <si>
    <t>拖拉机</t>
    <phoneticPr fontId="8" type="noConversion"/>
  </si>
  <si>
    <t>叉车     5t</t>
    <phoneticPr fontId="8" type="noConversion"/>
  </si>
  <si>
    <t>mawa现场（P1#墩）</t>
    <phoneticPr fontId="8" type="noConversion"/>
  </si>
  <si>
    <t>mawa现场（小桩）</t>
    <phoneticPr fontId="8" type="noConversion"/>
  </si>
  <si>
    <t>mawa现场（承台墩身）</t>
    <phoneticPr fontId="8" type="noConversion"/>
  </si>
  <si>
    <t>钢梁</t>
    <phoneticPr fontId="8" type="noConversion"/>
  </si>
  <si>
    <t>发电机（主营地生活区）</t>
    <phoneticPr fontId="8" type="noConversion"/>
  </si>
  <si>
    <t>交通船  (钢梁）</t>
    <phoneticPr fontId="8" type="noConversion"/>
  </si>
  <si>
    <t>交通船（200t)</t>
    <phoneticPr fontId="8" type="noConversion"/>
  </si>
  <si>
    <t>驳船800t</t>
    <phoneticPr fontId="8" type="noConversion"/>
  </si>
  <si>
    <t>压浆机</t>
    <phoneticPr fontId="8" type="noConversion"/>
  </si>
  <si>
    <t>外租动力船</t>
    <phoneticPr fontId="8" type="noConversion"/>
  </si>
  <si>
    <t>发电机  （mawa营地）</t>
    <phoneticPr fontId="8" type="noConversion"/>
  </si>
  <si>
    <t>发电机  （钢梁）</t>
    <phoneticPr fontId="8" type="noConversion"/>
  </si>
  <si>
    <t>纵梁</t>
    <phoneticPr fontId="8" type="noConversion"/>
  </si>
  <si>
    <t>360KW发电机（钢筋车间）</t>
    <phoneticPr fontId="8" type="noConversion"/>
  </si>
  <si>
    <t>机械修理</t>
    <phoneticPr fontId="8" type="noConversion"/>
  </si>
  <si>
    <t>发电机 P1</t>
    <phoneticPr fontId="8" type="noConversion"/>
  </si>
  <si>
    <t>空压机</t>
    <phoneticPr fontId="8" type="noConversion"/>
  </si>
  <si>
    <t>发电机</t>
    <phoneticPr fontId="8" type="noConversion"/>
  </si>
  <si>
    <t>借（1050振动锤）</t>
    <phoneticPr fontId="8" type="noConversion"/>
  </si>
  <si>
    <t>（APE600振动锤）</t>
    <phoneticPr fontId="8" type="noConversion"/>
  </si>
  <si>
    <t>发电机   （mawa现场）</t>
    <phoneticPr fontId="8" type="noConversion"/>
  </si>
  <si>
    <t>发电机   （粱场）</t>
    <phoneticPr fontId="8" type="noConversion"/>
  </si>
  <si>
    <t>发电机组   （VOVOL）</t>
    <phoneticPr fontId="8" type="noConversion"/>
  </si>
  <si>
    <t>旧平板车</t>
    <phoneticPr fontId="8" type="noConversion"/>
  </si>
  <si>
    <t>平板车</t>
    <phoneticPr fontId="8" type="noConversion"/>
  </si>
  <si>
    <t>白色货车</t>
    <phoneticPr fontId="8" type="noConversion"/>
  </si>
  <si>
    <t>翻斗车</t>
    <phoneticPr fontId="8" type="noConversion"/>
  </si>
  <si>
    <t>清洗机械</t>
    <phoneticPr fontId="8" type="noConversion"/>
  </si>
  <si>
    <t>油桶（库存）</t>
    <phoneticPr fontId="8" type="noConversion"/>
  </si>
  <si>
    <t>司 机</t>
    <phoneticPr fontId="8" type="noConversion"/>
  </si>
  <si>
    <t>调度</t>
    <phoneticPr fontId="8" type="noConversion"/>
  </si>
  <si>
    <t>挖机1</t>
  </si>
  <si>
    <t>挖机2</t>
  </si>
  <si>
    <t>25t汽车吊</t>
  </si>
  <si>
    <t>50t履带吊1</t>
  </si>
  <si>
    <t>55t履带吊2</t>
  </si>
  <si>
    <t>50t汽车吊山桥</t>
  </si>
  <si>
    <t>150t履带吊外租</t>
  </si>
  <si>
    <t>160t履带吊外租</t>
  </si>
  <si>
    <t>160t履带吊旧</t>
  </si>
  <si>
    <t>180t履带吊</t>
  </si>
  <si>
    <t>100t履带吊外租</t>
  </si>
  <si>
    <t>装载机1</t>
  </si>
  <si>
    <t>装载机2</t>
  </si>
  <si>
    <t>搅拌车1#</t>
  </si>
  <si>
    <t>搅拌车2#</t>
  </si>
  <si>
    <t>搅拌车3#</t>
  </si>
  <si>
    <t>搅拌车4#</t>
  </si>
  <si>
    <t>搅拌车5#</t>
  </si>
  <si>
    <t>搅拌车6#</t>
  </si>
  <si>
    <t>搅拌车钢筋车间</t>
  </si>
  <si>
    <t>天泵四公司</t>
  </si>
  <si>
    <t>皮卡车</t>
  </si>
  <si>
    <t>拖拉机</t>
  </si>
  <si>
    <t>叉车     5t</t>
  </si>
  <si>
    <t>mawa现场（P1#墩）</t>
  </si>
  <si>
    <t>mawa现场（小桩）</t>
  </si>
  <si>
    <t>mawa现场（承台墩身）</t>
  </si>
  <si>
    <t>钢梁</t>
  </si>
  <si>
    <t>发电机（主营地生活区）</t>
  </si>
  <si>
    <t>交通船  (钢梁）</t>
  </si>
  <si>
    <t>交通船（200t)</t>
  </si>
  <si>
    <t>驳船800t</t>
  </si>
  <si>
    <t>压浆机</t>
  </si>
  <si>
    <t>外租动力船</t>
  </si>
  <si>
    <t>发电机  （mawa营地）</t>
  </si>
  <si>
    <t>发电机  （钢梁）</t>
  </si>
  <si>
    <t>纵梁</t>
  </si>
  <si>
    <t>360KW发电机（钢筋车间）</t>
  </si>
  <si>
    <t>机械修理</t>
  </si>
  <si>
    <t>发电机 P1</t>
  </si>
  <si>
    <t>空压机</t>
  </si>
  <si>
    <t>发电机借（1050振动锤）</t>
  </si>
  <si>
    <t>发电机（APE600振动锤）</t>
  </si>
  <si>
    <t>发电机   （mawa现场）</t>
  </si>
  <si>
    <t>发电机   （粱场）</t>
  </si>
  <si>
    <t>发电机组   （VOVOL）</t>
  </si>
  <si>
    <t>旧平板车3</t>
  </si>
  <si>
    <t>旧平板车2</t>
  </si>
  <si>
    <t>平板车1</t>
  </si>
  <si>
    <t>平板车2</t>
  </si>
  <si>
    <t>平板车3</t>
  </si>
  <si>
    <t>白色货车四公司</t>
  </si>
  <si>
    <t>翻斗车1</t>
  </si>
  <si>
    <t>翻斗车2</t>
  </si>
  <si>
    <t>清洗机械</t>
  </si>
  <si>
    <t>油桶（库存）</t>
  </si>
  <si>
    <t>司 机</t>
  </si>
  <si>
    <t>调度</t>
  </si>
  <si>
    <t>进料单</t>
    <phoneticPr fontId="1" type="noConversion"/>
  </si>
  <si>
    <t>柴油入库单</t>
    <phoneticPr fontId="1" type="noConversion"/>
  </si>
  <si>
    <t>水泥进料记录</t>
    <phoneticPr fontId="1" type="noConversion"/>
  </si>
  <si>
    <t>钢筋进料记录</t>
    <phoneticPr fontId="1" type="noConversion"/>
  </si>
  <si>
    <t>钢筋验证记录</t>
    <phoneticPr fontId="1" type="noConversion"/>
  </si>
  <si>
    <t>12月辅材发料登记</t>
    <phoneticPr fontId="1" type="noConversion"/>
  </si>
  <si>
    <t>柴油计算公式：</t>
    <phoneticPr fontId="1" type="noConversion"/>
  </si>
  <si>
    <t>接收文件before</t>
    <phoneticPr fontId="1" type="noConversion"/>
  </si>
  <si>
    <t>水泥验证记录</t>
    <phoneticPr fontId="1" type="noConversion"/>
  </si>
  <si>
    <t>发电机  （码头）</t>
    <phoneticPr fontId="8" type="noConversion"/>
  </si>
  <si>
    <t>发电机  （码头）</t>
    <phoneticPr fontId="1" type="noConversion"/>
  </si>
  <si>
    <t>钢筋统计</t>
    <phoneticPr fontId="1" type="noConversion"/>
  </si>
  <si>
    <t>福州捷顺科智能科技有限公司—电动门维修配件1450</t>
    <phoneticPr fontId="8" type="noConversion"/>
  </si>
  <si>
    <t>一</t>
    <phoneticPr fontId="1" type="noConversion"/>
  </si>
  <si>
    <t>二</t>
    <phoneticPr fontId="1" type="noConversion"/>
  </si>
  <si>
    <t>三</t>
  </si>
  <si>
    <t>四</t>
  </si>
  <si>
    <t>五</t>
  </si>
  <si>
    <t>六</t>
  </si>
  <si>
    <t xml:space="preserve">钢筋委托 </t>
    <phoneticPr fontId="1" type="noConversion"/>
  </si>
  <si>
    <t>水泥委托</t>
    <phoneticPr fontId="1" type="noConversion"/>
  </si>
  <si>
    <t>辅材记录</t>
    <phoneticPr fontId="1" type="noConversion"/>
  </si>
  <si>
    <t>水泥库存</t>
    <phoneticPr fontId="1" type="noConversion"/>
  </si>
  <si>
    <t>柴油盘点</t>
    <phoneticPr fontId="1" type="noConversion"/>
  </si>
  <si>
    <t>用油记录</t>
    <phoneticPr fontId="1" type="noConversion"/>
  </si>
  <si>
    <t>砂石料库存动态表</t>
    <phoneticPr fontId="1" type="noConversion"/>
  </si>
  <si>
    <t>物资群里通知</t>
    <phoneticPr fontId="1" type="noConversion"/>
  </si>
  <si>
    <t>钢筋库存统计</t>
    <phoneticPr fontId="1" type="noConversion"/>
  </si>
  <si>
    <t>柴油核销</t>
    <phoneticPr fontId="1" type="noConversion"/>
  </si>
  <si>
    <t>水泥进料单</t>
    <phoneticPr fontId="1" type="noConversion"/>
  </si>
  <si>
    <t>钢筋进料单</t>
    <phoneticPr fontId="1" type="noConversion"/>
  </si>
  <si>
    <t>黄砂进料单</t>
    <phoneticPr fontId="1" type="noConversion"/>
  </si>
  <si>
    <t>柴油进料单</t>
    <phoneticPr fontId="1" type="noConversion"/>
  </si>
  <si>
    <t>项目管理日报，库存管理统计</t>
    <phoneticPr fontId="1" type="noConversion"/>
  </si>
  <si>
    <t>柴油发料</t>
    <phoneticPr fontId="1" type="noConversion"/>
  </si>
  <si>
    <t>局物资材料调拨</t>
    <phoneticPr fontId="1" type="noConversion"/>
  </si>
  <si>
    <t>10月进油</t>
    <phoneticPr fontId="1" type="noConversion"/>
  </si>
  <si>
    <t>10月发油</t>
    <phoneticPr fontId="1" type="noConversion"/>
  </si>
  <si>
    <t>10月余油</t>
    <phoneticPr fontId="1" type="noConversion"/>
  </si>
  <si>
    <t>11月进油</t>
  </si>
  <si>
    <t>11月发油</t>
  </si>
  <si>
    <t>11月余油</t>
  </si>
  <si>
    <t>12月进油</t>
  </si>
  <si>
    <t>12月发油</t>
  </si>
  <si>
    <t>12月余油</t>
  </si>
  <si>
    <t>1月进油</t>
    <phoneticPr fontId="1" type="noConversion"/>
  </si>
  <si>
    <t>1月发油</t>
    <phoneticPr fontId="1" type="noConversion"/>
  </si>
  <si>
    <t>1月余油</t>
    <phoneticPr fontId="1" type="noConversion"/>
  </si>
  <si>
    <t>2月进油</t>
  </si>
  <si>
    <t>2月发油</t>
  </si>
  <si>
    <t>2月余油</t>
  </si>
  <si>
    <t>9月库存</t>
    <phoneticPr fontId="1" type="noConversion"/>
  </si>
  <si>
    <t>升</t>
    <phoneticPr fontId="1" type="noConversion"/>
  </si>
  <si>
    <t>油高（m）</t>
    <phoneticPr fontId="1" type="noConversion"/>
  </si>
  <si>
    <t>2018.9-2019.2月进油</t>
    <phoneticPr fontId="1" type="noConversion"/>
  </si>
  <si>
    <t>2018.9-2019.2月发油</t>
    <phoneticPr fontId="1" type="noConversion"/>
  </si>
  <si>
    <t>蔡登鸿</t>
    <phoneticPr fontId="1" type="noConversion"/>
  </si>
  <si>
    <t>夏如初</t>
    <phoneticPr fontId="1" type="noConversion"/>
  </si>
  <si>
    <t>10-12月发油</t>
    <phoneticPr fontId="1" type="noConversion"/>
  </si>
  <si>
    <t>12-1月发油</t>
    <phoneticPr fontId="1" type="noConversion"/>
  </si>
  <si>
    <t>氧气乙炔</t>
    <phoneticPr fontId="1" type="noConversion"/>
  </si>
  <si>
    <t>日</t>
  </si>
  <si>
    <t>一</t>
  </si>
  <si>
    <t>二</t>
  </si>
  <si>
    <t>3月进油</t>
  </si>
  <si>
    <t>3月发油</t>
  </si>
  <si>
    <t>3月余油</t>
  </si>
  <si>
    <t>0.71m</t>
    <phoneticPr fontId="1" type="noConversion"/>
  </si>
  <si>
    <t>2019.03.17月柴油余量</t>
    <phoneticPr fontId="1" type="noConversion"/>
  </si>
  <si>
    <t>做账</t>
    <phoneticPr fontId="1" type="noConversion"/>
  </si>
  <si>
    <t>通讯录</t>
    <phoneticPr fontId="1" type="noConversion"/>
  </si>
  <si>
    <t xml:space="preserve"> </t>
    <phoneticPr fontId="1" type="noConversion"/>
  </si>
  <si>
    <t>现金</t>
    <phoneticPr fontId="1" type="noConversion"/>
  </si>
  <si>
    <t>支票</t>
    <phoneticPr fontId="1" type="noConversion"/>
  </si>
  <si>
    <t>镀锌费用</t>
    <phoneticPr fontId="1" type="noConversion"/>
  </si>
  <si>
    <t>车费</t>
    <phoneticPr fontId="1" type="noConversion"/>
  </si>
  <si>
    <t>HI餐费</t>
    <phoneticPr fontId="1" type="noConversion"/>
  </si>
  <si>
    <t>SARA餐费</t>
    <phoneticPr fontId="1" type="noConversion"/>
  </si>
  <si>
    <t>SARA路费</t>
    <phoneticPr fontId="1" type="noConversion"/>
  </si>
  <si>
    <t>锚棒镀锌费</t>
    <phoneticPr fontId="1" type="noConversion"/>
  </si>
  <si>
    <t>余额</t>
    <phoneticPr fontId="1" type="noConversion"/>
  </si>
  <si>
    <t>蔡餐费</t>
    <phoneticPr fontId="1" type="noConversion"/>
  </si>
  <si>
    <t>系数</t>
    <phoneticPr fontId="8" type="noConversion"/>
  </si>
  <si>
    <t>长度M</t>
    <phoneticPr fontId="8" type="noConversion"/>
  </si>
  <si>
    <t>动态表</t>
    <phoneticPr fontId="1" type="noConversion"/>
  </si>
  <si>
    <t xml:space="preserve">收发存卡片 </t>
    <phoneticPr fontId="1" type="noConversion"/>
  </si>
  <si>
    <t>壁厚mm</t>
    <phoneticPr fontId="8" type="noConversion"/>
  </si>
  <si>
    <t>外径mm</t>
    <phoneticPr fontId="8" type="noConversion"/>
  </si>
  <si>
    <t>外径一壁厚（mm）</t>
    <phoneticPr fontId="8" type="noConversion"/>
  </si>
  <si>
    <t>钢护筒</t>
  </si>
  <si>
    <t>φ1.3m*12mm</t>
  </si>
  <si>
    <t>φ1.3m*12mm</t>
    <phoneticPr fontId="8" type="noConversion"/>
  </si>
  <si>
    <t>φ3m*16mm</t>
  </si>
  <si>
    <t>φ3m*16mm</t>
    <phoneticPr fontId="8" type="noConversion"/>
  </si>
  <si>
    <t>φ3.2m*20mm</t>
  </si>
  <si>
    <t>φ3.2m*20mm</t>
    <phoneticPr fontId="8" type="noConversion"/>
  </si>
  <si>
    <t>φ2.4m*20mm</t>
  </si>
  <si>
    <t>φ2.4m*20mm</t>
    <phoneticPr fontId="8" type="noConversion"/>
  </si>
  <si>
    <t xml:space="preserve">材料名称 </t>
    <phoneticPr fontId="8" type="noConversion"/>
  </si>
  <si>
    <t>规格型号</t>
    <phoneticPr fontId="8" type="noConversion"/>
  </si>
  <si>
    <t>单位</t>
    <phoneticPr fontId="8" type="noConversion"/>
  </si>
  <si>
    <t>重量</t>
    <phoneticPr fontId="8" type="noConversion"/>
  </si>
  <si>
    <t>长度</t>
    <phoneticPr fontId="8" type="noConversion"/>
  </si>
  <si>
    <t>根数</t>
    <phoneticPr fontId="8" type="noConversion"/>
  </si>
  <si>
    <t>kg</t>
    <phoneticPr fontId="8" type="noConversion"/>
  </si>
  <si>
    <t>34m</t>
    <phoneticPr fontId="8" type="noConversion"/>
  </si>
  <si>
    <t>10.44m</t>
    <phoneticPr fontId="8" type="noConversion"/>
  </si>
  <si>
    <t>6.9m</t>
    <phoneticPr fontId="8" type="noConversion"/>
  </si>
  <si>
    <t>6.8m</t>
    <phoneticPr fontId="8" type="noConversion"/>
  </si>
  <si>
    <t>8.4m</t>
    <phoneticPr fontId="8" type="noConversion"/>
  </si>
  <si>
    <t>6m</t>
    <phoneticPr fontId="8" type="noConversion"/>
  </si>
  <si>
    <t>4.5m</t>
    <phoneticPr fontId="8" type="noConversion"/>
  </si>
  <si>
    <t>2.5m</t>
    <phoneticPr fontId="8" type="noConversion"/>
  </si>
  <si>
    <t>求和项:重量</t>
  </si>
  <si>
    <t>螺纹钢</t>
  </si>
  <si>
    <t>Φ20mm</t>
  </si>
  <si>
    <t>KG</t>
  </si>
  <si>
    <t>Φ20mm</t>
    <phoneticPr fontId="1" type="noConversion"/>
  </si>
  <si>
    <t>Φ16mm</t>
  </si>
  <si>
    <t>Φ16mm</t>
    <phoneticPr fontId="1" type="noConversion"/>
  </si>
  <si>
    <t>Φ12mm</t>
  </si>
  <si>
    <t>Φ12mm</t>
    <phoneticPr fontId="1" type="noConversion"/>
  </si>
  <si>
    <t>Φ25mm</t>
  </si>
  <si>
    <t>Φ25mm</t>
    <phoneticPr fontId="1" type="noConversion"/>
  </si>
  <si>
    <t>Φ32mm</t>
  </si>
  <si>
    <t>Φ32mm</t>
    <phoneticPr fontId="1" type="noConversion"/>
  </si>
  <si>
    <t>Φ40mm</t>
  </si>
  <si>
    <t>Φ40mm</t>
    <phoneticPr fontId="1" type="noConversion"/>
  </si>
  <si>
    <t>KG</t>
    <phoneticPr fontId="1" type="noConversion"/>
  </si>
  <si>
    <t>钢筋头</t>
    <phoneticPr fontId="1" type="noConversion"/>
  </si>
  <si>
    <t>kg</t>
    <phoneticPr fontId="1" type="noConversion"/>
  </si>
  <si>
    <t>合计</t>
    <phoneticPr fontId="1" type="noConversion"/>
  </si>
  <si>
    <t>Φ20mm</t>
    <phoneticPr fontId="1" type="noConversion"/>
  </si>
  <si>
    <t>Φ12mm</t>
    <phoneticPr fontId="1" type="noConversion"/>
  </si>
  <si>
    <t>Φ32mm</t>
    <phoneticPr fontId="1" type="noConversion"/>
  </si>
  <si>
    <t>Φ16mm</t>
    <phoneticPr fontId="1" type="noConversion"/>
  </si>
  <si>
    <t>Φ16mm及钢绞线头</t>
    <phoneticPr fontId="1" type="noConversion"/>
  </si>
  <si>
    <t>每月任务</t>
  </si>
  <si>
    <t>527999Φ32mm</t>
  </si>
  <si>
    <t>528000Φ32mm</t>
  </si>
  <si>
    <t>528001Φ32mm</t>
  </si>
  <si>
    <t>528004Φ32mm</t>
  </si>
  <si>
    <t>528055Φ20mm</t>
  </si>
  <si>
    <t>528055Φ8mm</t>
  </si>
  <si>
    <t>528104Φ16mm</t>
  </si>
  <si>
    <t>528109Φ12mm</t>
  </si>
  <si>
    <t>528109Φ25mm</t>
  </si>
  <si>
    <t>528110Φ12mm</t>
  </si>
  <si>
    <t>528110Φ16mm</t>
  </si>
  <si>
    <t>528110Φ20mm</t>
  </si>
  <si>
    <t>528110Φ8mm</t>
  </si>
  <si>
    <t>528102Φ25mm</t>
  </si>
  <si>
    <t>528111Φ16mm</t>
  </si>
  <si>
    <t>528180Φ12mm</t>
  </si>
  <si>
    <t>528181Φ12mm</t>
  </si>
  <si>
    <t>528183Φ16mm</t>
  </si>
  <si>
    <t>528184Φ16mm</t>
  </si>
  <si>
    <t>528189Φ16mm</t>
  </si>
  <si>
    <t>528190Φ16mm</t>
  </si>
  <si>
    <t>528654Φ40mm</t>
  </si>
  <si>
    <t>528655Φ40mm</t>
  </si>
  <si>
    <t>528656Φ40mm</t>
  </si>
  <si>
    <t>528788Φ40mm</t>
  </si>
  <si>
    <t>528792Φ40mm</t>
  </si>
  <si>
    <t>528797Φ40mm</t>
  </si>
  <si>
    <t>528801Φ40mm</t>
  </si>
  <si>
    <t>529026Φ40mm</t>
  </si>
  <si>
    <t>529027Φ40mm</t>
  </si>
  <si>
    <t>528578Φ16mm</t>
  </si>
  <si>
    <t>528579Φ12mm</t>
  </si>
  <si>
    <t>528579Φ20mm</t>
  </si>
  <si>
    <t>529269Φ40mm</t>
  </si>
  <si>
    <t>529316Φ40mm</t>
  </si>
  <si>
    <t>529349Φ40mm</t>
  </si>
  <si>
    <t>528786Φ40mm</t>
  </si>
  <si>
    <t>531991Φ32mm</t>
  </si>
  <si>
    <t>531992Φ32mm</t>
  </si>
  <si>
    <t>532557Φ25mm</t>
  </si>
  <si>
    <t>532558Φ25mm</t>
  </si>
  <si>
    <t>532560Φ32mm</t>
  </si>
  <si>
    <t>532561Φ32mm</t>
  </si>
  <si>
    <t>532562Φ32mm</t>
  </si>
  <si>
    <t>532565Φ32mm</t>
  </si>
  <si>
    <t>532587Φ32mm</t>
  </si>
  <si>
    <t>532599Φ25mm</t>
  </si>
  <si>
    <t>532685Φ40mm</t>
  </si>
  <si>
    <t>532791Φ40mm</t>
  </si>
  <si>
    <t>532823Φ40mm</t>
  </si>
  <si>
    <t>532824Φ40mm</t>
  </si>
  <si>
    <t>532826Φ40mm</t>
  </si>
  <si>
    <t>532867Φ40mm</t>
  </si>
  <si>
    <t>532978Φ12mm</t>
  </si>
  <si>
    <t>532978Φ8mm</t>
  </si>
  <si>
    <t>536805Φ32mm</t>
  </si>
  <si>
    <t>536805Φ40mm</t>
  </si>
  <si>
    <t>546030Φ32mm</t>
  </si>
  <si>
    <t>546095Φ32mm</t>
  </si>
  <si>
    <t>546108Φ32mm</t>
  </si>
  <si>
    <t>546265Φ32mm</t>
  </si>
  <si>
    <t>548932Φ12mm</t>
  </si>
  <si>
    <t>548934Φ12mm</t>
  </si>
  <si>
    <t>549024Φ16mm</t>
  </si>
  <si>
    <t>549041Φ16mm</t>
  </si>
  <si>
    <t>549157Φ16mm</t>
  </si>
  <si>
    <t>549293Φ16mm</t>
  </si>
  <si>
    <t>549296Φ16mm</t>
  </si>
  <si>
    <t>549328Φ16mm</t>
  </si>
  <si>
    <t>549294Φ16mm</t>
  </si>
  <si>
    <t>549495Φ16mm</t>
  </si>
  <si>
    <t>549707Φ32mm</t>
  </si>
  <si>
    <t>549766Φ16mm</t>
  </si>
  <si>
    <t>550008Φ16mm</t>
  </si>
  <si>
    <t>549016Φ16mm</t>
  </si>
  <si>
    <t>549017Φ16mm</t>
  </si>
  <si>
    <t>549158Φ16mm</t>
  </si>
  <si>
    <t>549170Φ16mm</t>
  </si>
  <si>
    <t>549266Φ32mm</t>
  </si>
  <si>
    <t>549326Φ32mm</t>
  </si>
  <si>
    <t>549701Φ32mm</t>
  </si>
  <si>
    <t>549702Φ32mm</t>
  </si>
  <si>
    <t>549810Φ32mm</t>
  </si>
  <si>
    <t>550219Φ12mm</t>
  </si>
  <si>
    <t>550267Φ12mm</t>
  </si>
  <si>
    <t>550267Φ16mm</t>
  </si>
  <si>
    <t>550268Φ12mm</t>
  </si>
  <si>
    <t>550460Φ10mm</t>
  </si>
  <si>
    <t>550460Φ12mm</t>
  </si>
  <si>
    <t>550460Φ20mm</t>
  </si>
  <si>
    <t>550460Φ40mm</t>
  </si>
  <si>
    <t>549999Φ10mm</t>
  </si>
  <si>
    <t>549999Φ16mm</t>
  </si>
  <si>
    <t>550028Φ16mm</t>
  </si>
  <si>
    <t>550055Φ32mm</t>
  </si>
  <si>
    <t>550113Φ12mm</t>
  </si>
  <si>
    <t>550139Φ12mm</t>
  </si>
  <si>
    <t>550140Φ12mm</t>
  </si>
  <si>
    <t>550141Φ32mm</t>
  </si>
  <si>
    <t>560867Φ12mm</t>
  </si>
  <si>
    <t>560867Φ8mm</t>
  </si>
  <si>
    <t>560869Φ25mm</t>
  </si>
  <si>
    <t>561389Φ12mm</t>
  </si>
  <si>
    <t>561389Φ16mm</t>
  </si>
  <si>
    <t>560866Φ12mm</t>
  </si>
  <si>
    <t>560883Φ12mm</t>
  </si>
  <si>
    <t>560884Φ25mm</t>
  </si>
  <si>
    <t>560886Φ16mm</t>
  </si>
  <si>
    <t>560886Φ20mm</t>
  </si>
  <si>
    <t>560936Φ32mm</t>
  </si>
  <si>
    <t>561132Φ32mm</t>
  </si>
  <si>
    <t>561132Φ8mm</t>
  </si>
  <si>
    <t>562513Φ16mm</t>
  </si>
  <si>
    <t>562605Φ16mm</t>
  </si>
  <si>
    <t>562132Φ32mm</t>
  </si>
  <si>
    <t>562253Φ12mm</t>
  </si>
  <si>
    <t>562253Φ16mm</t>
  </si>
  <si>
    <t>562253Φ32mm</t>
  </si>
  <si>
    <t>562502Φ16mm</t>
  </si>
  <si>
    <t>562505Φ16mm</t>
  </si>
  <si>
    <t>562556Φ16mm</t>
  </si>
  <si>
    <t>562131Φ32mm</t>
  </si>
  <si>
    <t>563757Φ16mm</t>
  </si>
  <si>
    <t>563790Φ16mm</t>
  </si>
  <si>
    <t>564685Φ32mm</t>
  </si>
  <si>
    <t>564687Φ32mm</t>
  </si>
  <si>
    <t>564688Φ32mm</t>
  </si>
  <si>
    <t>564690Φ32mm</t>
  </si>
  <si>
    <t>564679Φ32mm</t>
  </si>
  <si>
    <t>565074Φ32mm</t>
  </si>
  <si>
    <t>565146Φ32mm</t>
  </si>
  <si>
    <t>565276Φ25mm</t>
  </si>
  <si>
    <t>564676Φ32mm</t>
  </si>
  <si>
    <t>565370Φ25mm</t>
  </si>
  <si>
    <t>565818Φ25mm</t>
  </si>
  <si>
    <t>565818Φ32mm</t>
  </si>
  <si>
    <t xml:space="preserve">                                                                                                                                                                                                                   </t>
    <phoneticPr fontId="8" type="noConversion"/>
  </si>
  <si>
    <t>收发存</t>
    <phoneticPr fontId="1" type="noConversion"/>
  </si>
  <si>
    <t>D:\孟加拉做账\辅材购买\辅材材料图片\</t>
    <phoneticPr fontId="1" type="noConversion"/>
  </si>
  <si>
    <t>databases-incognito</t>
  </si>
  <si>
    <t>D:\孟加拉做账\辅材购买\辅材材料图片\databases-incognito</t>
  </si>
  <si>
    <t>D:\孟加拉做账\辅材购买\辅材材料图片\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</si>
</sst>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 &quot;¥&quot;* #,##0.00_ ;_ &quot;¥&quot;* \-#,##0.00_ ;_ &quot;¥&quot;* &quot;-&quot;??_ ;_ @_ "/>
    <numFmt numFmtId="176" formatCode="0.00_ "/>
    <numFmt numFmtId="177" formatCode="General&quot;张&quot;"/>
    <numFmt numFmtId="178" formatCode="yyyy&quot;年&quot;m&quot;月&quot;d&quot;日&quot;;@"/>
    <numFmt numFmtId="179" formatCode="0.000"/>
    <numFmt numFmtId="180" formatCode="0.00_);[Red]\(0.00\)"/>
  </numFmts>
  <fonts count="3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Tahoma"/>
      <family val="2"/>
    </font>
    <font>
      <sz val="10"/>
      <name val="Arial"/>
      <family val="2"/>
      <charset val="134"/>
    </font>
    <font>
      <u/>
      <sz val="11"/>
      <color theme="1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6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indexed="8"/>
      <name val="仿宋_GB2312"/>
      <charset val="134"/>
    </font>
    <font>
      <sz val="16"/>
      <color indexed="8"/>
      <name val="仿宋_GB2312"/>
      <charset val="134"/>
    </font>
    <font>
      <sz val="16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2"/>
      <color indexed="8"/>
      <name val="宋体"/>
      <family val="3"/>
      <charset val="134"/>
    </font>
    <font>
      <sz val="14"/>
      <color indexed="8"/>
      <name val="宋体"/>
      <family val="3"/>
      <charset val="134"/>
    </font>
    <font>
      <sz val="16"/>
      <name val="宋体"/>
      <family val="3"/>
      <charset val="134"/>
    </font>
    <font>
      <sz val="14"/>
      <name val="宋体"/>
      <family val="3"/>
      <charset val="134"/>
    </font>
    <font>
      <sz val="20"/>
      <color indexed="8"/>
      <name val="宋体"/>
      <family val="3"/>
      <charset val="134"/>
    </font>
    <font>
      <b/>
      <sz val="20"/>
      <color indexed="8"/>
      <name val="宋体"/>
      <family val="3"/>
      <charset val="134"/>
    </font>
    <font>
      <b/>
      <sz val="18"/>
      <color indexed="8"/>
      <name val="宋体"/>
      <family val="3"/>
      <charset val="134"/>
    </font>
    <font>
      <sz val="10"/>
      <name val="宋体"/>
      <family val="3"/>
      <charset val="134"/>
    </font>
    <font>
      <b/>
      <sz val="11"/>
      <color theme="1"/>
      <name val="微软雅黑"/>
      <family val="2"/>
      <charset val="134"/>
    </font>
    <font>
      <sz val="10"/>
      <color theme="1"/>
      <name val="宋体"/>
      <family val="2"/>
      <charset val="134"/>
      <scheme val="minor"/>
    </font>
    <font>
      <sz val="10"/>
      <name val="Arial"/>
      <family val="2"/>
    </font>
    <font>
      <sz val="10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333333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59">
    <xf numFmtId="0" fontId="0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/>
    <xf numFmtId="0" fontId="4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5" fillId="0" borderId="0"/>
    <xf numFmtId="0" fontId="6" fillId="0" borderId="0" applyNumberFormat="0" applyFill="0" applyBorder="0" applyAlignment="0" applyProtection="0">
      <alignment vertical="center"/>
    </xf>
    <xf numFmtId="0" fontId="3" fillId="0" borderId="0"/>
    <xf numFmtId="44" fontId="1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6" fillId="0" borderId="0"/>
    <xf numFmtId="0" fontId="11" fillId="0" borderId="0">
      <alignment vertical="center"/>
    </xf>
    <xf numFmtId="0" fontId="11" fillId="0" borderId="0">
      <alignment vertical="center"/>
    </xf>
    <xf numFmtId="0" fontId="2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0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0" xfId="0" applyFill="1">
      <alignment vertical="center"/>
    </xf>
    <xf numFmtId="0" fontId="7" fillId="0" borderId="0" xfId="0" applyFont="1" applyAlignment="1">
      <alignment horizontal="left" vertical="center"/>
    </xf>
    <xf numFmtId="0" fontId="6" fillId="0" borderId="0" xfId="1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6" fillId="0" borderId="0" xfId="11">
      <alignment vertical="center"/>
    </xf>
    <xf numFmtId="44" fontId="0" fillId="0" borderId="0" xfId="13" applyFont="1" applyAlignment="1">
      <alignment horizontal="left" vertical="center"/>
    </xf>
    <xf numFmtId="2" fontId="0" fillId="0" borderId="0" xfId="0" applyNumberFormat="1">
      <alignment vertical="center"/>
    </xf>
    <xf numFmtId="0" fontId="12" fillId="0" borderId="0" xfId="17" applyFont="1" applyFill="1" applyBorder="1" applyAlignment="1">
      <alignment vertical="center"/>
    </xf>
    <xf numFmtId="0" fontId="13" fillId="0" borderId="0" xfId="17" applyFont="1" applyFill="1" applyBorder="1" applyAlignment="1">
      <alignment vertical="center"/>
    </xf>
    <xf numFmtId="0" fontId="16" fillId="0" borderId="0" xfId="17" applyFont="1" applyFill="1" applyBorder="1" applyAlignment="1">
      <alignment vertical="center"/>
    </xf>
    <xf numFmtId="0" fontId="14" fillId="0" borderId="0" xfId="17" applyFont="1" applyFill="1" applyBorder="1" applyAlignment="1">
      <alignment vertical="center"/>
    </xf>
    <xf numFmtId="0" fontId="14" fillId="0" borderId="1" xfId="17" applyFont="1" applyFill="1" applyBorder="1" applyAlignment="1">
      <alignment vertical="center"/>
    </xf>
    <xf numFmtId="176" fontId="14" fillId="0" borderId="1" xfId="17" applyNumberFormat="1" applyFont="1" applyFill="1" applyBorder="1" applyAlignment="1">
      <alignment horizontal="center" vertical="center"/>
    </xf>
    <xf numFmtId="0" fontId="17" fillId="0" borderId="0" xfId="17" applyFont="1" applyFill="1" applyBorder="1" applyAlignment="1">
      <alignment vertical="center"/>
    </xf>
    <xf numFmtId="177" fontId="14" fillId="0" borderId="1" xfId="17" applyNumberFormat="1" applyFont="1" applyFill="1" applyBorder="1" applyAlignment="1">
      <alignment horizontal="center" vertical="center"/>
    </xf>
    <xf numFmtId="0" fontId="14" fillId="0" borderId="1" xfId="17" applyFont="1" applyFill="1" applyBorder="1" applyAlignment="1">
      <alignment horizontal="center" vertical="center"/>
    </xf>
    <xf numFmtId="49" fontId="14" fillId="0" borderId="1" xfId="17" applyNumberFormat="1" applyFont="1" applyFill="1" applyBorder="1" applyAlignment="1">
      <alignment horizontal="center" vertical="center"/>
    </xf>
    <xf numFmtId="0" fontId="14" fillId="0" borderId="1" xfId="17" applyFont="1" applyFill="1" applyBorder="1" applyAlignment="1">
      <alignment horizontal="center" vertical="center" shrinkToFit="1"/>
    </xf>
    <xf numFmtId="14" fontId="14" fillId="0" borderId="1" xfId="17" applyNumberFormat="1" applyFont="1" applyFill="1" applyBorder="1" applyAlignment="1">
      <alignment horizontal="center" vertical="center"/>
    </xf>
    <xf numFmtId="0" fontId="14" fillId="0" borderId="1" xfId="18" applyFont="1" applyBorder="1" applyAlignment="1">
      <alignment horizontal="center" vertical="center" shrinkToFit="1"/>
    </xf>
    <xf numFmtId="49" fontId="14" fillId="0" borderId="1" xfId="17" applyNumberFormat="1" applyFont="1" applyFill="1" applyBorder="1" applyAlignment="1">
      <alignment horizontal="center" vertical="center" shrinkToFit="1"/>
    </xf>
    <xf numFmtId="0" fontId="14" fillId="0" borderId="1" xfId="17" applyFont="1" applyFill="1" applyBorder="1" applyAlignment="1">
      <alignment horizontal="center" vertical="center" wrapText="1"/>
    </xf>
    <xf numFmtId="177" fontId="14" fillId="0" borderId="1" xfId="17" applyNumberFormat="1" applyFont="1" applyFill="1" applyBorder="1" applyAlignment="1">
      <alignment horizontal="center" vertical="center" wrapText="1"/>
    </xf>
    <xf numFmtId="176" fontId="14" fillId="0" borderId="1" xfId="17" applyNumberFormat="1" applyFont="1" applyFill="1" applyBorder="1" applyAlignment="1">
      <alignment horizontal="center" vertical="center" wrapText="1"/>
    </xf>
    <xf numFmtId="0" fontId="14" fillId="0" borderId="1" xfId="18" applyFont="1" applyBorder="1" applyAlignment="1">
      <alignment horizontal="center" vertical="center" wrapText="1"/>
    </xf>
    <xf numFmtId="14" fontId="14" fillId="0" borderId="1" xfId="17" applyNumberFormat="1" applyFont="1" applyFill="1" applyBorder="1" applyAlignment="1">
      <alignment horizontal="center" vertical="center" wrapText="1"/>
    </xf>
    <xf numFmtId="49" fontId="14" fillId="0" borderId="4" xfId="17" applyNumberFormat="1" applyFont="1" applyFill="1" applyBorder="1" applyAlignment="1">
      <alignment horizontal="center" vertical="center" wrapText="1"/>
    </xf>
    <xf numFmtId="176" fontId="18" fillId="0" borderId="0" xfId="19" applyNumberFormat="1" applyFont="1" applyFill="1" applyAlignment="1">
      <alignment horizontal="center" vertical="center"/>
    </xf>
    <xf numFmtId="14" fontId="19" fillId="0" borderId="0" xfId="17" applyNumberFormat="1" applyFont="1" applyFill="1" applyBorder="1" applyAlignment="1">
      <alignment horizontal="center" vertical="center" shrinkToFit="1"/>
    </xf>
    <xf numFmtId="49" fontId="19" fillId="0" borderId="1" xfId="17" applyNumberFormat="1" applyFont="1" applyFill="1" applyBorder="1" applyAlignment="1">
      <alignment horizontal="center" vertical="center" wrapText="1" shrinkToFit="1"/>
    </xf>
    <xf numFmtId="0" fontId="14" fillId="0" borderId="5" xfId="17" applyFont="1" applyFill="1" applyBorder="1" applyAlignment="1">
      <alignment horizontal="center" vertical="center" wrapText="1"/>
    </xf>
    <xf numFmtId="0" fontId="14" fillId="0" borderId="6" xfId="17" applyFont="1" applyFill="1" applyBorder="1" applyAlignment="1">
      <alignment horizontal="center" vertical="center"/>
    </xf>
    <xf numFmtId="0" fontId="20" fillId="0" borderId="0" xfId="17" applyFont="1" applyFill="1" applyBorder="1" applyAlignment="1">
      <alignment vertical="center"/>
    </xf>
    <xf numFmtId="176" fontId="23" fillId="0" borderId="0" xfId="1" applyNumberFormat="1" applyFont="1" applyFill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7" fillId="4" borderId="0" xfId="0" applyFont="1" applyFill="1">
      <alignment vertical="center"/>
    </xf>
    <xf numFmtId="0" fontId="0" fillId="0" borderId="0" xfId="0" applyNumberFormat="1" applyAlignment="1">
      <alignment horizontal="left" vertical="center"/>
    </xf>
    <xf numFmtId="0" fontId="0" fillId="0" borderId="0" xfId="0" applyAlignment="1"/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5" borderId="1" xfId="0" applyFill="1" applyBorder="1" applyAlignment="1">
      <alignment vertical="center"/>
    </xf>
    <xf numFmtId="0" fontId="0" fillId="5" borderId="1" xfId="0" applyFill="1" applyBorder="1">
      <alignment vertical="center"/>
    </xf>
    <xf numFmtId="0" fontId="27" fillId="0" borderId="1" xfId="0" applyNumberFormat="1" applyFont="1" applyBorder="1" applyAlignment="1">
      <alignment vertical="center"/>
    </xf>
    <xf numFmtId="49" fontId="27" fillId="0" borderId="1" xfId="0" applyNumberFormat="1" applyFont="1" applyBorder="1" applyAlignment="1">
      <alignment vertical="center"/>
    </xf>
    <xf numFmtId="0" fontId="0" fillId="4" borderId="0" xfId="0" applyNumberFormat="1" applyFill="1">
      <alignment vertical="center"/>
    </xf>
    <xf numFmtId="0" fontId="24" fillId="0" borderId="1" xfId="0" applyNumberFormat="1" applyFont="1" applyBorder="1" applyAlignment="1">
      <alignment horizontal="center" vertical="center"/>
    </xf>
    <xf numFmtId="0" fontId="25" fillId="0" borderId="1" xfId="0" applyNumberFormat="1" applyFon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" fillId="0" borderId="0" xfId="0" applyFont="1">
      <alignment vertical="center"/>
    </xf>
    <xf numFmtId="49" fontId="28" fillId="0" borderId="1" xfId="0" applyNumberFormat="1" applyFont="1" applyBorder="1" applyAlignment="1">
      <alignment vertical="center"/>
    </xf>
    <xf numFmtId="179" fontId="0" fillId="0" borderId="0" xfId="0" applyNumberFormat="1">
      <alignment vertical="center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0" fontId="23" fillId="0" borderId="6" xfId="0" applyFont="1" applyFill="1" applyBorder="1" applyAlignment="1">
      <alignment horizontal="center" vertical="center" wrapText="1"/>
    </xf>
    <xf numFmtId="0" fontId="23" fillId="0" borderId="4" xfId="0" applyFont="1" applyFill="1" applyBorder="1" applyAlignment="1">
      <alignment horizontal="center" vertical="center" wrapText="1"/>
    </xf>
    <xf numFmtId="0" fontId="23" fillId="0" borderId="6" xfId="0" applyFont="1" applyFill="1" applyBorder="1" applyAlignment="1">
      <alignment horizontal="center" vertical="center"/>
    </xf>
    <xf numFmtId="0" fontId="23" fillId="0" borderId="4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180" fontId="0" fillId="6" borderId="0" xfId="0" applyNumberFormat="1" applyFill="1">
      <alignment vertical="center"/>
    </xf>
    <xf numFmtId="180" fontId="30" fillId="0" borderId="0" xfId="0" applyNumberFormat="1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8" borderId="0" xfId="0" applyFill="1">
      <alignment vertic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1" fillId="9" borderId="0" xfId="0" applyFont="1" applyFill="1">
      <alignment vertical="center"/>
    </xf>
    <xf numFmtId="0" fontId="0" fillId="9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57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4" fillId="3" borderId="0" xfId="17" applyFont="1" applyFill="1" applyBorder="1" applyAlignment="1">
      <alignment horizontal="left" vertical="top"/>
    </xf>
    <xf numFmtId="0" fontId="22" fillId="0" borderId="0" xfId="17" applyFont="1" applyFill="1" applyBorder="1" applyAlignment="1">
      <alignment horizontal="center" vertical="center"/>
    </xf>
    <xf numFmtId="0" fontId="21" fillId="0" borderId="0" xfId="17" applyFont="1" applyFill="1" applyBorder="1" applyAlignment="1">
      <alignment horizontal="center" vertical="center"/>
    </xf>
    <xf numFmtId="178" fontId="14" fillId="0" borderId="0" xfId="17" applyNumberFormat="1" applyFont="1" applyFill="1" applyBorder="1" applyAlignment="1">
      <alignment horizontal="center" vertical="center"/>
    </xf>
    <xf numFmtId="31" fontId="14" fillId="0" borderId="0" xfId="17" applyNumberFormat="1" applyFont="1" applyFill="1" applyBorder="1" applyAlignment="1">
      <alignment vertical="center"/>
    </xf>
    <xf numFmtId="0" fontId="14" fillId="0" borderId="0" xfId="17" applyFont="1" applyFill="1" applyBorder="1" applyAlignment="1">
      <alignment vertical="center"/>
    </xf>
    <xf numFmtId="0" fontId="14" fillId="0" borderId="1" xfId="17" applyNumberFormat="1" applyFont="1" applyFill="1" applyBorder="1" applyAlignment="1">
      <alignment horizontal="center" vertical="center"/>
    </xf>
    <xf numFmtId="0" fontId="14" fillId="0" borderId="3" xfId="17" applyNumberFormat="1" applyFont="1" applyFill="1" applyBorder="1" applyAlignment="1">
      <alignment horizontal="center" vertical="center"/>
    </xf>
    <xf numFmtId="0" fontId="14" fillId="0" borderId="2" xfId="17" applyNumberFormat="1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59">
    <cellStyle name="?痃%S&amp;F?_x0008_?o_x0006__x0007__x0001__x0001_ 17" xfId="33"/>
    <cellStyle name="_ET_STYLE_NoName_00_" xfId="10"/>
    <cellStyle name="_ET_STYLE_NoName_00_ 2" xfId="22"/>
    <cellStyle name="gcd" xfId="32"/>
    <cellStyle name="常规" xfId="0" builtinId="0"/>
    <cellStyle name="常规 10" xfId="4"/>
    <cellStyle name="常规 10 10 2" xfId="52"/>
    <cellStyle name="常规 10 11 2" xfId="56"/>
    <cellStyle name="常规 10 12 2" xfId="58"/>
    <cellStyle name="常规 10 15" xfId="39"/>
    <cellStyle name="常规 10 2" xfId="9"/>
    <cellStyle name="常规 10 2 14" xfId="41"/>
    <cellStyle name="常规 10 2 2" xfId="15"/>
    <cellStyle name="常规 10 2 2 3" xfId="48"/>
    <cellStyle name="常规 10 2 3 2" xfId="51"/>
    <cellStyle name="常规 10 2 4 2" xfId="53"/>
    <cellStyle name="常规 10 2 5 2" xfId="47"/>
    <cellStyle name="常规 10 2 6 2" xfId="50"/>
    <cellStyle name="常规 10 2 7 2" xfId="54"/>
    <cellStyle name="常规 11 15" xfId="43"/>
    <cellStyle name="常规 12" xfId="2"/>
    <cellStyle name="常规 12 15" xfId="45"/>
    <cellStyle name="常规 12 2" xfId="23"/>
    <cellStyle name="常规 13" xfId="5"/>
    <cellStyle name="常规 13 13" xfId="46"/>
    <cellStyle name="常规 13 2" xfId="24"/>
    <cellStyle name="常规 14 2" xfId="57"/>
    <cellStyle name="常规 17" xfId="29"/>
    <cellStyle name="常规 2" xfId="1"/>
    <cellStyle name="常规 2 16 2 2" xfId="7"/>
    <cellStyle name="常规 2 19" xfId="30"/>
    <cellStyle name="常规 2 2" xfId="17"/>
    <cellStyle name="常规 2 2 2" xfId="6"/>
    <cellStyle name="常规 2 2 3" xfId="19"/>
    <cellStyle name="常规 2 3" xfId="26"/>
    <cellStyle name="常规 2_ 钢筋核销表" xfId="28"/>
    <cellStyle name="常规 22" xfId="16"/>
    <cellStyle name="常规 3" xfId="3"/>
    <cellStyle name="常规 3 17" xfId="31"/>
    <cellStyle name="常规 3 2" xfId="14"/>
    <cellStyle name="常规 4" xfId="12"/>
    <cellStyle name="常规 4 2" xfId="21"/>
    <cellStyle name="常规 5" xfId="20"/>
    <cellStyle name="常规 5 15" xfId="34"/>
    <cellStyle name="常规 6 15" xfId="35"/>
    <cellStyle name="常规 6 2 14" xfId="44"/>
    <cellStyle name="常规 7" xfId="27"/>
    <cellStyle name="常规 7 16" xfId="36"/>
    <cellStyle name="常规 7 2 10 2" xfId="55"/>
    <cellStyle name="常规 7 2 14" xfId="40"/>
    <cellStyle name="常规 7 2 2 3" xfId="49"/>
    <cellStyle name="常规 8 15" xfId="37"/>
    <cellStyle name="常规 9" xfId="8"/>
    <cellStyle name="常规 9 15" xfId="38"/>
    <cellStyle name="常规 9 2 14" xfId="42"/>
    <cellStyle name="常规_机电1" xfId="18"/>
    <cellStyle name="超链接" xfId="11" builtinId="8"/>
    <cellStyle name="货币" xfId="13" builtinId="4"/>
    <cellStyle name="样式 1" xfId="25"/>
  </cellStyles>
  <dxfs count="3"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142875</xdr:colOff>
      <xdr:row>0</xdr:row>
      <xdr:rowOff>19050</xdr:rowOff>
    </xdr:from>
    <xdr:to>
      <xdr:col>6</xdr:col>
      <xdr:colOff>257175</xdr:colOff>
      <xdr:row>3</xdr:row>
      <xdr:rowOff>152400</xdr:rowOff>
    </xdr:to>
    <xdr:sp macro="[0]!提取文件夹名" textlink="">
      <xdr:nvSpPr>
        <xdr:cNvPr id="2" name="圆角矩形 1"/>
        <xdr:cNvSpPr/>
      </xdr:nvSpPr>
      <xdr:spPr>
        <a:xfrm>
          <a:off x="5629275" y="19050"/>
          <a:ext cx="800100" cy="6477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</a:rPr>
            <a:t>提取文件夹名</a:t>
          </a:r>
        </a:p>
      </xdr:txBody>
    </xdr:sp>
    <xdr:clientData/>
  </xdr:twoCellAnchor>
  <xdr:twoCellAnchor>
    <xdr:from>
      <xdr:col>6</xdr:col>
      <xdr:colOff>381000</xdr:colOff>
      <xdr:row>0</xdr:row>
      <xdr:rowOff>19050</xdr:rowOff>
    </xdr:from>
    <xdr:to>
      <xdr:col>7</xdr:col>
      <xdr:colOff>495300</xdr:colOff>
      <xdr:row>3</xdr:row>
      <xdr:rowOff>142875</xdr:rowOff>
    </xdr:to>
    <xdr:sp macro="[0]!文件夹重命名" textlink="">
      <xdr:nvSpPr>
        <xdr:cNvPr id="3" name="圆角矩形 2"/>
        <xdr:cNvSpPr/>
      </xdr:nvSpPr>
      <xdr:spPr>
        <a:xfrm>
          <a:off x="6553200" y="19050"/>
          <a:ext cx="800100" cy="63817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zh-CN" altLang="en-US" sz="1100">
              <a:solidFill>
                <a:srgbClr val="92D050"/>
              </a:solidFill>
            </a:rPr>
            <a:t>重</a:t>
          </a:r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  <a:cs typeface="+mn-cs"/>
            </a:rPr>
            <a:t>命名文件</a:t>
          </a:r>
          <a:r>
            <a:rPr lang="zh-CN" altLang="zh-CN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  <a:cs typeface="+mn-cs"/>
            </a:rPr>
            <a:t>夹</a:t>
          </a:r>
          <a:endParaRPr lang="zh-CN" altLang="en-US" sz="1100" b="1">
            <a:solidFill>
              <a:srgbClr val="92D050"/>
            </a:solidFill>
            <a:latin typeface="GungsuhChe" panose="02030609000101010101" pitchFamily="49" charset="-127"/>
            <a:ea typeface="GungsuhChe" panose="02030609000101010101" pitchFamily="49" charset="-127"/>
            <a:cs typeface="+mn-cs"/>
          </a:endParaRPr>
        </a:p>
      </xdr:txBody>
    </xdr:sp>
    <xdr:clientData/>
  </xdr:twoCellAnchor>
  <xdr:twoCellAnchor>
    <xdr:from>
      <xdr:col>8</xdr:col>
      <xdr:colOff>66675</xdr:colOff>
      <xdr:row>0</xdr:row>
      <xdr:rowOff>85725</xdr:rowOff>
    </xdr:from>
    <xdr:to>
      <xdr:col>9</xdr:col>
      <xdr:colOff>180975</xdr:colOff>
      <xdr:row>3</xdr:row>
      <xdr:rowOff>133350</xdr:rowOff>
    </xdr:to>
    <xdr:sp macro="[0]!清除" textlink="">
      <xdr:nvSpPr>
        <xdr:cNvPr id="4" name="圆角矩形 3"/>
        <xdr:cNvSpPr/>
      </xdr:nvSpPr>
      <xdr:spPr>
        <a:xfrm>
          <a:off x="10753725" y="85725"/>
          <a:ext cx="800100" cy="56197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  <a:cs typeface="+mn-cs"/>
            </a:rPr>
            <a:t>清除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409575</xdr:colOff>
      <xdr:row>0</xdr:row>
      <xdr:rowOff>28575</xdr:rowOff>
    </xdr:from>
    <xdr:to>
      <xdr:col>7</xdr:col>
      <xdr:colOff>523875</xdr:colOff>
      <xdr:row>3</xdr:row>
      <xdr:rowOff>161925</xdr:rowOff>
    </xdr:to>
    <xdr:sp macro="[0]!提取文件名" textlink="">
      <xdr:nvSpPr>
        <xdr:cNvPr id="5" name="圆角矩形 4"/>
        <xdr:cNvSpPr/>
      </xdr:nvSpPr>
      <xdr:spPr>
        <a:xfrm>
          <a:off x="6581775" y="28575"/>
          <a:ext cx="800100" cy="6477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</a:rPr>
            <a:t>提取文件名</a:t>
          </a:r>
        </a:p>
      </xdr:txBody>
    </xdr:sp>
    <xdr:clientData/>
  </xdr:twoCellAnchor>
  <xdr:twoCellAnchor>
    <xdr:from>
      <xdr:col>7</xdr:col>
      <xdr:colOff>647700</xdr:colOff>
      <xdr:row>0</xdr:row>
      <xdr:rowOff>28575</xdr:rowOff>
    </xdr:from>
    <xdr:to>
      <xdr:col>9</xdr:col>
      <xdr:colOff>76200</xdr:colOff>
      <xdr:row>3</xdr:row>
      <xdr:rowOff>152400</xdr:rowOff>
    </xdr:to>
    <xdr:sp macro="[0]!重命名文件" textlink="">
      <xdr:nvSpPr>
        <xdr:cNvPr id="6" name="圆角矩形 5"/>
        <xdr:cNvSpPr/>
      </xdr:nvSpPr>
      <xdr:spPr>
        <a:xfrm>
          <a:off x="7505700" y="28575"/>
          <a:ext cx="800100" cy="63817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zh-CN" altLang="en-US" sz="1100">
              <a:solidFill>
                <a:srgbClr val="92D050"/>
              </a:solidFill>
            </a:rPr>
            <a:t>重</a:t>
          </a:r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  <a:cs typeface="+mn-cs"/>
            </a:rPr>
            <a:t>命名文件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执笔话爱" refreshedDate="43393.381537499998" createdVersion="5" refreshedVersion="5" minRefreshableVersion="3" recordCount="9">
  <cacheSource type="worksheet">
    <worksheetSource ref="I1:K10" sheet="柴油模板"/>
  </cacheSource>
  <cacheFields count="3">
    <cacheField name="数量" numFmtId="179">
      <sharedItems containsSemiMixedTypes="0" containsString="0" containsNumber="1" minValue="10" maxValue="126.92700000000001"/>
    </cacheField>
    <cacheField name="单价" numFmtId="0">
      <sharedItems containsSemiMixedTypes="0" containsString="0" containsNumber="1" containsInteger="1" minValue="7285" maxValue="8245" count="19">
        <n v="8100"/>
        <n v="8030"/>
        <n v="7910"/>
        <n v="7770"/>
        <n v="7860"/>
        <n v="8245"/>
        <n v="7930"/>
        <n v="7630" u="1"/>
        <n v="7285" u="1"/>
        <n v="7465" u="1"/>
        <n v="7825" u="1"/>
        <n v="7305" u="1"/>
        <n v="7700" u="1"/>
        <n v="7880" u="1"/>
        <n v="7530" u="1"/>
        <n v="7355" u="1"/>
        <n v="7535" u="1"/>
        <n v="7755" u="1"/>
        <n v="7950" u="1"/>
      </sharedItems>
    </cacheField>
    <cacheField name="金额" numFmtId="0">
      <sharedItems containsSemiMixedTypes="0" containsString="0" containsNumber="1" minValue="77700" maxValue="1006531.11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执笔话爱" refreshedDate="43640.985204166667" createdVersion="5" refreshedVersion="5" minRefreshableVersion="3" recordCount="26">
  <cacheSource type="worksheet">
    <worksheetSource ref="A1:D27" sheet="4"/>
  </cacheSource>
  <cacheFields count="4">
    <cacheField name="材料名称 " numFmtId="0">
      <sharedItems/>
    </cacheField>
    <cacheField name="规格型号" numFmtId="0">
      <sharedItems count="6">
        <s v="Φ16mm"/>
        <s v="Φ12mm"/>
        <s v="Φ20mm"/>
        <s v="Φ25mm"/>
        <s v="Φ32mm"/>
        <s v="Φ40mm"/>
      </sharedItems>
    </cacheField>
    <cacheField name="单位" numFmtId="0">
      <sharedItems/>
    </cacheField>
    <cacheField name="重量" numFmtId="0">
      <sharedItems containsSemiMixedTypes="0" containsString="0" containsNumber="1" containsInteger="1" minValue="30" maxValue="361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执笔话爱" refreshedDate="43657.479240162036" createdVersion="5" refreshedVersion="5" minRefreshableVersion="3" recordCount="8">
  <cacheSource type="worksheet">
    <worksheetSource ref="A1:F9" sheet="3"/>
  </cacheSource>
  <cacheFields count="6">
    <cacheField name="材料名称 " numFmtId="0">
      <sharedItems count="1">
        <s v="钢护筒"/>
      </sharedItems>
    </cacheField>
    <cacheField name="规格型号" numFmtId="0">
      <sharedItems count="4">
        <s v="φ1.3m*12mm"/>
        <s v="φ3m*16mm"/>
        <s v="φ3.2m*20mm"/>
        <s v="φ2.4m*20mm"/>
      </sharedItems>
    </cacheField>
    <cacheField name="单位" numFmtId="0">
      <sharedItems/>
    </cacheField>
    <cacheField name="重量" numFmtId="0">
      <sharedItems containsSemiMixedTypes="0" containsString="0" containsNumber="1" containsInteger="1" minValue="1906" maxValue="32465"/>
    </cacheField>
    <cacheField name="长度" numFmtId="0">
      <sharedItems/>
    </cacheField>
    <cacheField name="根数" numFmtId="0">
      <sharedItems containsSemiMixedTypes="0" containsString="0" containsNumber="1" containsInteger="1" minValue="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n v="31"/>
    <x v="0"/>
    <n v="251100"/>
  </r>
  <r>
    <n v="15"/>
    <x v="1"/>
    <n v="120450"/>
  </r>
  <r>
    <n v="25"/>
    <x v="2"/>
    <n v="197750"/>
  </r>
  <r>
    <n v="10"/>
    <x v="3"/>
    <n v="77700"/>
  </r>
  <r>
    <n v="30"/>
    <x v="4"/>
    <n v="235800"/>
  </r>
  <r>
    <n v="32.408000000000001"/>
    <x v="5"/>
    <n v="267203.96000000002"/>
  </r>
  <r>
    <n v="109.592"/>
    <x v="5"/>
    <n v="903586.04"/>
  </r>
  <r>
    <n v="31.073"/>
    <x v="6"/>
    <n v="246408.89"/>
  </r>
  <r>
    <n v="126.92700000000001"/>
    <x v="6"/>
    <n v="1006531.11000000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6">
  <r>
    <s v="螺纹钢"/>
    <x v="0"/>
    <s v="KG"/>
    <n v="1896"/>
  </r>
  <r>
    <s v="螺纹钢"/>
    <x v="1"/>
    <s v="KG"/>
    <n v="1066"/>
  </r>
  <r>
    <s v="螺纹钢"/>
    <x v="0"/>
    <s v="KG"/>
    <n v="12514"/>
  </r>
  <r>
    <s v="螺纹钢"/>
    <x v="2"/>
    <s v="KG"/>
    <n v="11560"/>
  </r>
  <r>
    <s v="螺纹钢"/>
    <x v="2"/>
    <s v="KG"/>
    <n v="15561"/>
  </r>
  <r>
    <s v="螺纹钢"/>
    <x v="2"/>
    <s v="KG"/>
    <n v="593"/>
  </r>
  <r>
    <s v="螺纹钢"/>
    <x v="2"/>
    <s v="KG"/>
    <n v="380"/>
  </r>
  <r>
    <s v="螺纹钢"/>
    <x v="2"/>
    <s v="KG"/>
    <n v="30"/>
  </r>
  <r>
    <s v="螺纹钢"/>
    <x v="3"/>
    <s v="KG"/>
    <n v="1441"/>
  </r>
  <r>
    <s v="螺纹钢"/>
    <x v="3"/>
    <s v="KG"/>
    <n v="443"/>
  </r>
  <r>
    <s v="螺纹钢"/>
    <x v="4"/>
    <s v="KG"/>
    <n v="2040"/>
  </r>
  <r>
    <s v="螺纹钢"/>
    <x v="0"/>
    <s v="KG"/>
    <n v="74"/>
  </r>
  <r>
    <s v="螺纹钢"/>
    <x v="0"/>
    <s v="KG"/>
    <n v="3717"/>
  </r>
  <r>
    <s v="螺纹钢"/>
    <x v="0"/>
    <s v="KG"/>
    <n v="948"/>
  </r>
  <r>
    <s v="螺纹钢"/>
    <x v="0"/>
    <s v="KG"/>
    <n v="1561"/>
  </r>
  <r>
    <s v="螺纹钢"/>
    <x v="1"/>
    <s v="KG"/>
    <n v="533"/>
  </r>
  <r>
    <s v="螺纹钢"/>
    <x v="1"/>
    <s v="KG"/>
    <n v="1412"/>
  </r>
  <r>
    <s v="螺纹钢"/>
    <x v="1"/>
    <s v="KG"/>
    <n v="4049"/>
  </r>
  <r>
    <s v="螺纹钢"/>
    <x v="1"/>
    <s v="KG"/>
    <n v="2082"/>
  </r>
  <r>
    <s v="螺纹钢"/>
    <x v="1"/>
    <s v="KG"/>
    <n v="10059"/>
  </r>
  <r>
    <s v="螺纹钢"/>
    <x v="1"/>
    <s v="KG"/>
    <n v="36150"/>
  </r>
  <r>
    <s v="螺纹钢"/>
    <x v="0"/>
    <s v="KG"/>
    <n v="10569"/>
  </r>
  <r>
    <s v="螺纹钢"/>
    <x v="2"/>
    <s v="KG"/>
    <n v="28729"/>
  </r>
  <r>
    <s v="螺纹钢"/>
    <x v="3"/>
    <s v="KG"/>
    <n v="20318"/>
  </r>
  <r>
    <s v="螺纹钢"/>
    <x v="4"/>
    <s v="KG"/>
    <n v="8500"/>
  </r>
  <r>
    <s v="螺纹钢"/>
    <x v="5"/>
    <s v="KG"/>
    <n v="249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">
  <r>
    <x v="0"/>
    <x v="0"/>
    <s v="kg"/>
    <n v="12959"/>
    <s v="34m"/>
    <n v="1"/>
  </r>
  <r>
    <x v="0"/>
    <x v="1"/>
    <s v="kg"/>
    <n v="12291"/>
    <s v="10.44m"/>
    <n v="1"/>
  </r>
  <r>
    <x v="0"/>
    <x v="2"/>
    <s v="kg"/>
    <n v="32465"/>
    <s v="6.9m"/>
    <n v="3"/>
  </r>
  <r>
    <x v="0"/>
    <x v="2"/>
    <s v="kg"/>
    <n v="10665"/>
    <s v="6.8m"/>
    <n v="1"/>
  </r>
  <r>
    <x v="0"/>
    <x v="3"/>
    <s v="kg"/>
    <n v="9860"/>
    <s v="8.4m"/>
    <n v="1"/>
  </r>
  <r>
    <x v="0"/>
    <x v="0"/>
    <s v="kg"/>
    <n v="4574"/>
    <s v="6m"/>
    <n v="2"/>
  </r>
  <r>
    <x v="0"/>
    <x v="0"/>
    <s v="kg"/>
    <n v="3430"/>
    <s v="4.5m"/>
    <n v="2"/>
  </r>
  <r>
    <x v="0"/>
    <x v="0"/>
    <s v="kg"/>
    <n v="1906"/>
    <s v="2.5m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1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M1:O9" firstHeaderRow="0" firstDataRow="1" firstDataCol="1"/>
  <pivotFields count="3">
    <pivotField dataField="1" showAll="0"/>
    <pivotField axis="axisRow" showAll="0">
      <items count="20">
        <item m="1" x="8"/>
        <item m="1" x="11"/>
        <item m="1" x="15"/>
        <item m="1" x="9"/>
        <item m="1" x="14"/>
        <item m="1" x="16"/>
        <item m="1" x="7"/>
        <item m="1" x="12"/>
        <item m="1" x="18"/>
        <item m="1" x="10"/>
        <item m="1" x="17"/>
        <item m="1" x="13"/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1">
    <field x="1"/>
  </rowFields>
  <rowItems count="8"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求和项:数量" fld="0" baseField="0" baseItem="0"/>
    <dataField name="求和项:金额" fld="2" baseField="0" baseItem="0"/>
  </dataFields>
  <formats count="3">
    <format dxfId="2">
      <pivotArea collapsedLevelsAreSubtotals="1" fieldPosition="0">
        <references count="2">
          <reference field="4294967294" count="1" selected="0">
            <x v="0"/>
          </reference>
          <reference field="1" count="6">
            <x v="12"/>
            <x v="13"/>
            <x v="14"/>
            <x v="15"/>
            <x v="16"/>
            <x v="17"/>
          </reference>
        </references>
      </pivotArea>
    </format>
    <format dxfId="1">
      <pivotArea collapsedLevelsAreSubtotals="1" fieldPosition="0">
        <references count="2">
          <reference field="4294967294" count="1" selected="0">
            <x v="1"/>
          </reference>
          <reference field="1" count="0"/>
        </references>
      </pivotArea>
    </format>
    <format dxfId="0">
      <pivotArea field="1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1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H1:I7" firstHeaderRow="1" firstDataRow="1" firstDataCol="1"/>
  <pivotFields count="6">
    <pivotField axis="axisRow" showAll="0">
      <items count="2">
        <item x="0"/>
        <item t="default"/>
      </items>
    </pivotField>
    <pivotField axis="axisRow" showAll="0">
      <items count="5">
        <item x="0"/>
        <item x="3"/>
        <item x="2"/>
        <item x="1"/>
        <item t="default"/>
      </items>
    </pivotField>
    <pivotField showAll="0"/>
    <pivotField dataField="1" showAll="0"/>
    <pivotField showAll="0"/>
    <pivotField showAll="0"/>
  </pivotFields>
  <rowFields count="2">
    <field x="0"/>
    <field x="1"/>
  </rowFields>
  <rowItems count="6">
    <i>
      <x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求和项:重量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3" cacheId="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G1:H8" firstHeaderRow="1" firstDataRow="1" firstDataCol="1"/>
  <pivotFields count="4">
    <pivotField showAll="0"/>
    <pivotField axis="axisRow" showAll="0">
      <items count="7">
        <item x="1"/>
        <item x="0"/>
        <item x="2"/>
        <item x="3"/>
        <item x="4"/>
        <item x="5"/>
        <item t="default"/>
      </items>
    </pivotField>
    <pivotField showAll="0"/>
    <pivotField dataField="1"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求和项:重量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a:spPr>
      <a:bodyPr/>
      <a:lstStyle/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D:\&#23391;&#21152;&#25289;&#20570;&#36134;\&#36741;&#26448;&#36141;&#20080;\&#36741;&#26448;&#26448;&#26009;&#22270;&#29255;\databases-incognito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file:///G:\&#20013;&#38081;&#22823;&#26725;&#23616;&#24037;&#20316;&#30456;&#20851;\&#28857;&#25910;\&#32467;&#31639;&#21333;10&#26376;\2018.10&#26376;&#24314;&#26448;&#24211;&#28857;&#25910;&#21333;.xlsx" TargetMode="External"/><Relationship Id="rId13" Type="http://schemas.openxmlformats.org/officeDocument/2006/relationships/printerSettings" Target="../printerSettings/printerSettings6.bin"/><Relationship Id="rId3" Type="http://schemas.openxmlformats.org/officeDocument/2006/relationships/hyperlink" Target="..\6&#26376;&#29992;&#26009;" TargetMode="External"/><Relationship Id="rId7" Type="http://schemas.openxmlformats.org/officeDocument/2006/relationships/hyperlink" Target="file:///G:\&#20013;&#38081;&#22823;&#26725;&#23616;&#24037;&#20316;&#30456;&#20851;\&#28857;&#25910;\&#32467;&#31639;&#21333;10&#26376;\2018.10&#26376;&#32508;&#21512;&#24211;&#28857;&#25910;&#21333;.xlsx" TargetMode="External"/><Relationship Id="rId12" Type="http://schemas.openxmlformats.org/officeDocument/2006/relationships/hyperlink" Target="file:///G:\&#20013;&#38081;&#22823;&#26725;&#23616;&#24037;&#20316;&#30456;&#20851;\&#25991;&#20214;&#25509;&#25910;\&#34081;&#30331;&#40511;\&#25105;&#30340;&#32463;&#33829;&#20934;&#22791;.docx" TargetMode="External"/><Relationship Id="rId2" Type="http://schemas.openxmlformats.org/officeDocument/2006/relationships/hyperlink" Target="file:///G:\&#36134;&#21153;\&#31119;&#24179;&#38081;&#36335;\&#20179;&#24211;&#32452;" TargetMode="External"/><Relationship Id="rId1" Type="http://schemas.openxmlformats.org/officeDocument/2006/relationships/hyperlink" Target="file:///G:\&#38750;&#21457;&#31080;&#32467;&#31639;&#25195;&#25551;&#20214;&#20449;&#24687;\&#38750;&#28857;&#25910;&#23457;&#25209;&#21333;.xlsx" TargetMode="External"/><Relationship Id="rId6" Type="http://schemas.openxmlformats.org/officeDocument/2006/relationships/hyperlink" Target="file:///G:\&#20013;&#38081;&#22823;&#26725;&#23616;&#24037;&#20316;&#30456;&#20851;\&#28857;&#25910;\&#25910;&#21457;&#23384;&#21512;&#35745;&#29256;&#26412;&#65288;&#28857;&#25910;&#21512;&#35745;&#20462;&#65289;&#30830;&#23450;&#29256;.xls" TargetMode="External"/><Relationship Id="rId11" Type="http://schemas.openxmlformats.org/officeDocument/2006/relationships/hyperlink" Target="file:///G:\&#20013;&#38081;&#22823;&#26725;&#23616;&#24037;&#20316;&#30456;&#20851;\&#25991;&#20214;&#25509;&#25910;\&#34081;&#30331;&#40511;\&#25105;&#30340;&#19978;&#29677;&#26085;&#35760;.docx" TargetMode="External"/><Relationship Id="rId5" Type="http://schemas.openxmlformats.org/officeDocument/2006/relationships/hyperlink" Target="file:///G:\&#20013;&#38081;&#22823;&#26725;&#23616;&#24037;&#20316;&#30456;&#20851;\&#28857;&#25910;\&#31119;&#24179;&#38081;&#36335;&#21457;&#31080;&#21488;&#36134;&#65288;&#29289;&#36164;&#37096;2016&#24180;10&#26376;&#22987;&#65289;.xlsx" TargetMode="External"/><Relationship Id="rId10" Type="http://schemas.openxmlformats.org/officeDocument/2006/relationships/hyperlink" Target="file:///G:\&#20013;&#38081;&#22823;&#26725;&#23616;&#24037;&#20316;&#30456;&#20851;\&#28857;&#25910;\&#32467;&#31639;&#21333;10&#26376;\2018.10&#26376;&#20027;&#26448;&#24211;&#28857;&#25910;&#21333;.xlsx" TargetMode="External"/><Relationship Id="rId4" Type="http://schemas.openxmlformats.org/officeDocument/2006/relationships/hyperlink" Target="file:///G:\&#20013;&#38081;&#22823;&#26725;&#23616;&#24037;&#20316;&#30456;&#20851;\&#25991;&#20214;&#25509;&#25910;" TargetMode="External"/><Relationship Id="rId9" Type="http://schemas.openxmlformats.org/officeDocument/2006/relationships/hyperlink" Target="file:///G:\&#20013;&#38081;&#22823;&#26725;&#23616;&#24037;&#20316;&#30456;&#20851;\&#28857;&#25910;\&#32467;&#31639;&#21333;10&#26376;\2018.10&#26376;&#23457;&#25209;&#21333;.xlsx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file:///E:\&#34081;&#30331;&#40511;&#20570;&#36134;&#26368;&#26032;\&#38050;&#31563;&#27801;&#23376;&#27700;&#27877;&#30862;&#30707;&#36827;&#26009;&#35760;&#24405;\&#27700;&#27877;&#36827;&#26009;&#35760;&#24405;.xlsx" TargetMode="External"/><Relationship Id="rId13" Type="http://schemas.openxmlformats.org/officeDocument/2006/relationships/hyperlink" Target="file:///D:\&#23391;&#21152;&#25289;&#20570;&#36134;\&#25991;&#20214;&#25509;&#25910;\&#34398;&#37096;&#38271;\&#21333;&#25454;&#27169;&#26495;\&#36890;&#35759;&#24405;2018.08.06.xls" TargetMode="External"/><Relationship Id="rId3" Type="http://schemas.openxmlformats.org/officeDocument/2006/relationships/hyperlink" Target="file:///G:\&#23391;&#21152;&#25289;&#20570;&#36134;\&#25991;&#20214;&#25509;&#25910;" TargetMode="External"/><Relationship Id="rId7" Type="http://schemas.openxmlformats.org/officeDocument/2006/relationships/hyperlink" Target="file:///G:\&#23391;&#21152;&#25289;&#20570;&#36134;\&#36741;&#26448;&#21457;&#26009;&#21450;&#24211;&#23384;&#12289;&#20135;&#20540;&#19982;&#25104;&#26412;&#23545;&#27604;&#20998;&#26512;&#65288;MAWA&#20391;&#65289;2018.12.31.xlsx" TargetMode="External"/><Relationship Id="rId12" Type="http://schemas.openxmlformats.org/officeDocument/2006/relationships/hyperlink" Target="file:///D:\&#23391;&#21152;&#25289;&#20570;&#36134;\&#25991;&#20214;&#25509;&#25910;\&#34081;&#30331;&#40511;&#27169;&#26495;\&#38050;&#31563;&#37327;&#32479;&#35745;.xlsx" TargetMode="External"/><Relationship Id="rId2" Type="http://schemas.openxmlformats.org/officeDocument/2006/relationships/hyperlink" Target="..\6&#26376;&#29992;&#26009;" TargetMode="External"/><Relationship Id="rId1" Type="http://schemas.openxmlformats.org/officeDocument/2006/relationships/hyperlink" Target="file:///G:\&#23391;&#21152;&#25289;&#20570;&#36134;" TargetMode="External"/><Relationship Id="rId6" Type="http://schemas.openxmlformats.org/officeDocument/2006/relationships/hyperlink" Target="file:///G:\&#20013;&#38081;&#22823;&#26725;&#23616;&#24037;&#20316;&#30456;&#20851;\&#25991;&#20214;&#25509;&#25910;\&#34081;&#30331;&#40511;\&#25105;&#30340;&#32463;&#33829;&#20934;&#22791;.docx" TargetMode="External"/><Relationship Id="rId11" Type="http://schemas.openxmlformats.org/officeDocument/2006/relationships/hyperlink" Target="file:///G:\&#23391;&#21152;&#25289;&#20570;&#36134;\&#27700;&#27877;&#36136;&#20445;&#20070;\&#27700;&#27877;&#22996;&#25176;\&#29289;&#36164;&#39564;&#35777;&#35760;&#24405;&#65288;&#27700;&#27877;&#65289;.xls" TargetMode="External"/><Relationship Id="rId5" Type="http://schemas.openxmlformats.org/officeDocument/2006/relationships/hyperlink" Target="file:///G:\&#20013;&#38081;&#22823;&#26725;&#23616;&#24037;&#20316;&#30456;&#20851;\&#25991;&#20214;&#25509;&#25910;\&#34081;&#30331;&#40511;\&#25105;&#30340;&#19978;&#29677;&#26085;&#35760;.docx" TargetMode="External"/><Relationship Id="rId15" Type="http://schemas.openxmlformats.org/officeDocument/2006/relationships/printerSettings" Target="../printerSettings/printerSettings8.bin"/><Relationship Id="rId10" Type="http://schemas.openxmlformats.org/officeDocument/2006/relationships/hyperlink" Target="file:///G:\&#20013;&#38081;&#22823;&#26725;&#23616;&#24037;&#20316;&#30456;&#20851;\&#25991;&#20214;&#25509;&#25910;\&#34081;&#30331;&#40511;\&#36229;&#26143;&#22270;&#20070;" TargetMode="External"/><Relationship Id="rId4" Type="http://schemas.openxmlformats.org/officeDocument/2006/relationships/hyperlink" Target="file:///E:\&#34081;&#30331;&#40511;&#20570;&#36134;&#26368;&#26032;\&#38050;&#31563;&#27801;&#23376;&#27700;&#27877;&#30862;&#30707;&#36827;&#26009;&#35760;&#24405;\&#38050;&#31563;%20&#36827;&#26009;&#35760;&#24405;.xls" TargetMode="External"/><Relationship Id="rId9" Type="http://schemas.openxmlformats.org/officeDocument/2006/relationships/hyperlink" Target="file:///E:\&#34081;&#30331;&#40511;&#20570;&#36134;&#26368;&#26032;\&#26612;&#27833;&#26680;&#38144;&#34920;\&#26612;&#27833;&#36827;&#26009;&#35760;&#24405;\&#26612;&#27833;&#36827;&#26009;&#35760;&#24405;.xls" TargetMode="External"/><Relationship Id="rId14" Type="http://schemas.openxmlformats.org/officeDocument/2006/relationships/hyperlink" Target="file:///E:\&#34081;&#30331;&#40511;&#20570;&#36134;&#26368;&#26032;\&#36134;&#21153;\3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F15"/>
  <sheetViews>
    <sheetView zoomScaleNormal="100" workbookViewId="0">
      <selection activeCell="G27" sqref="G27"/>
    </sheetView>
  </sheetViews>
  <sheetFormatPr defaultRowHeight="13.5"/>
  <cols>
    <col min="1" max="19" width="3.625" customWidth="1"/>
    <col min="20" max="20" width="4.375" customWidth="1"/>
    <col min="21" max="31" width="3.625" customWidth="1"/>
    <col min="32" max="32" width="17.25" style="56" bestFit="1" customWidth="1"/>
  </cols>
  <sheetData>
    <row r="1" spans="1:3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84">
        <v>31</v>
      </c>
    </row>
    <row r="2" spans="1:32">
      <c r="A2" s="1" t="s">
        <v>207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 t="s">
        <v>263</v>
      </c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84" t="s">
        <v>215</v>
      </c>
    </row>
    <row r="3" spans="1:32">
      <c r="A3" s="1" t="s">
        <v>208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 t="s">
        <v>213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84" t="s">
        <v>254</v>
      </c>
    </row>
    <row r="4" spans="1:32">
      <c r="A4" s="1" t="s">
        <v>209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 t="s">
        <v>214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84" t="s">
        <v>217</v>
      </c>
    </row>
    <row r="5" spans="1:32">
      <c r="A5" s="1" t="s">
        <v>210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 t="s">
        <v>223</v>
      </c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84" t="s">
        <v>218</v>
      </c>
    </row>
    <row r="6" spans="1:32">
      <c r="A6" s="1" t="s">
        <v>211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 t="s">
        <v>224</v>
      </c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84" t="s">
        <v>219</v>
      </c>
    </row>
    <row r="7" spans="1:32">
      <c r="A7" s="1" t="s">
        <v>212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 t="s">
        <v>225</v>
      </c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 t="s">
        <v>221</v>
      </c>
      <c r="AB7" s="1"/>
      <c r="AC7" s="1"/>
      <c r="AD7" s="1"/>
      <c r="AE7" s="1"/>
      <c r="AF7" s="84" t="s">
        <v>222</v>
      </c>
    </row>
    <row r="8" spans="1:32">
      <c r="A8" s="1" t="s">
        <v>255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 t="s">
        <v>226</v>
      </c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 t="s">
        <v>227</v>
      </c>
      <c r="AA8" s="1"/>
      <c r="AB8" s="1"/>
      <c r="AC8" s="1"/>
      <c r="AD8" s="1"/>
      <c r="AE8" s="1"/>
      <c r="AF8" s="84"/>
    </row>
    <row r="9" spans="1:32">
      <c r="A9" s="1" t="s">
        <v>256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 t="s">
        <v>229</v>
      </c>
      <c r="AA9" s="1"/>
      <c r="AB9" s="1"/>
      <c r="AC9" s="1"/>
      <c r="AD9" s="1"/>
      <c r="AE9" s="1"/>
      <c r="AF9" s="84"/>
    </row>
    <row r="10" spans="1:32">
      <c r="A10" s="1" t="s">
        <v>257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 t="s">
        <v>278</v>
      </c>
      <c r="AA10" s="1"/>
      <c r="AB10" s="1"/>
      <c r="AC10" s="1"/>
      <c r="AD10" s="1"/>
      <c r="AE10" s="1"/>
      <c r="AF10" s="84"/>
    </row>
    <row r="11" spans="1:32">
      <c r="A11" s="1" t="s">
        <v>209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 t="s">
        <v>279</v>
      </c>
      <c r="AA11" s="1"/>
      <c r="AB11" s="1"/>
      <c r="AC11" s="1"/>
      <c r="AD11" s="1"/>
      <c r="AE11" s="1"/>
      <c r="AF11" s="84"/>
    </row>
    <row r="12" spans="1:32">
      <c r="A12" s="1" t="s">
        <v>210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84"/>
    </row>
    <row r="13" spans="1:32">
      <c r="A13" s="1" t="s">
        <v>211</v>
      </c>
      <c r="B13" s="1" t="s">
        <v>220</v>
      </c>
      <c r="C13" s="1" t="s">
        <v>220</v>
      </c>
      <c r="D13" s="1" t="s">
        <v>220</v>
      </c>
      <c r="E13" s="1" t="s">
        <v>220</v>
      </c>
      <c r="F13" s="1" t="s">
        <v>220</v>
      </c>
      <c r="G13" s="1" t="s">
        <v>220</v>
      </c>
      <c r="H13" s="1" t="s">
        <v>220</v>
      </c>
      <c r="I13" s="1" t="s">
        <v>220</v>
      </c>
      <c r="J13" s="1" t="s">
        <v>220</v>
      </c>
      <c r="K13" s="1" t="s">
        <v>220</v>
      </c>
      <c r="L13" s="1" t="s">
        <v>220</v>
      </c>
      <c r="M13" s="1" t="s">
        <v>220</v>
      </c>
      <c r="N13" s="1" t="s">
        <v>220</v>
      </c>
      <c r="O13" s="1" t="s">
        <v>220</v>
      </c>
      <c r="P13" s="1" t="s">
        <v>220</v>
      </c>
      <c r="Q13" s="1" t="s">
        <v>220</v>
      </c>
      <c r="R13" s="1" t="s">
        <v>220</v>
      </c>
      <c r="S13" s="1" t="s">
        <v>220</v>
      </c>
      <c r="T13" s="1" t="s">
        <v>220</v>
      </c>
      <c r="U13" s="1" t="s">
        <v>220</v>
      </c>
      <c r="V13" s="1" t="s">
        <v>220</v>
      </c>
      <c r="W13" s="1" t="s">
        <v>220</v>
      </c>
      <c r="X13" s="1" t="s">
        <v>220</v>
      </c>
      <c r="Y13" s="1" t="s">
        <v>220</v>
      </c>
      <c r="Z13" s="1" t="s">
        <v>220</v>
      </c>
      <c r="AA13" s="1" t="s">
        <v>220</v>
      </c>
      <c r="AB13" s="1" t="s">
        <v>220</v>
      </c>
      <c r="AC13" s="1" t="s">
        <v>220</v>
      </c>
      <c r="AD13" s="1" t="s">
        <v>220</v>
      </c>
      <c r="AE13" s="1" t="s">
        <v>220</v>
      </c>
      <c r="AF13" s="84" t="s">
        <v>220</v>
      </c>
    </row>
    <row r="14" spans="1:32">
      <c r="A14" s="1" t="s">
        <v>212</v>
      </c>
      <c r="B14" s="1" t="s">
        <v>216</v>
      </c>
      <c r="C14" s="1" t="s">
        <v>216</v>
      </c>
      <c r="D14" s="1" t="s">
        <v>216</v>
      </c>
      <c r="E14" s="1" t="s">
        <v>216</v>
      </c>
      <c r="F14" s="1" t="s">
        <v>216</v>
      </c>
      <c r="G14" s="1" t="s">
        <v>216</v>
      </c>
      <c r="H14" s="1" t="s">
        <v>216</v>
      </c>
      <c r="I14" s="1" t="s">
        <v>216</v>
      </c>
      <c r="J14" s="1" t="s">
        <v>216</v>
      </c>
      <c r="K14" s="1" t="s">
        <v>216</v>
      </c>
      <c r="L14" s="1" t="s">
        <v>216</v>
      </c>
      <c r="M14" s="1" t="s">
        <v>216</v>
      </c>
      <c r="N14" s="1" t="s">
        <v>216</v>
      </c>
      <c r="O14" s="1" t="s">
        <v>216</v>
      </c>
      <c r="P14" s="1" t="s">
        <v>216</v>
      </c>
      <c r="Q14" s="1" t="s">
        <v>216</v>
      </c>
      <c r="R14" s="1" t="s">
        <v>216</v>
      </c>
      <c r="S14" s="1" t="s">
        <v>216</v>
      </c>
      <c r="T14" s="1" t="s">
        <v>216</v>
      </c>
      <c r="U14" s="1" t="s">
        <v>216</v>
      </c>
      <c r="V14" s="1" t="s">
        <v>216</v>
      </c>
      <c r="W14" s="1" t="s">
        <v>216</v>
      </c>
      <c r="X14" s="1" t="s">
        <v>216</v>
      </c>
      <c r="Y14" s="1" t="s">
        <v>216</v>
      </c>
      <c r="Z14" s="1" t="s">
        <v>216</v>
      </c>
      <c r="AA14" s="1" t="s">
        <v>216</v>
      </c>
      <c r="AB14" s="1" t="s">
        <v>216</v>
      </c>
      <c r="AC14" s="1" t="s">
        <v>216</v>
      </c>
      <c r="AD14" s="1" t="s">
        <v>216</v>
      </c>
      <c r="AE14" s="1" t="s">
        <v>216</v>
      </c>
      <c r="AF14" s="84" t="s">
        <v>216</v>
      </c>
    </row>
    <row r="15" spans="1:32">
      <c r="A15" s="1" t="s">
        <v>255</v>
      </c>
      <c r="B15" s="1" t="s">
        <v>228</v>
      </c>
      <c r="C15" s="1" t="s">
        <v>228</v>
      </c>
      <c r="D15" s="1" t="s">
        <v>228</v>
      </c>
      <c r="E15" s="1" t="s">
        <v>228</v>
      </c>
      <c r="F15" s="1" t="s">
        <v>228</v>
      </c>
      <c r="G15" s="1" t="s">
        <v>228</v>
      </c>
      <c r="H15" s="1" t="s">
        <v>228</v>
      </c>
      <c r="I15" s="1" t="s">
        <v>228</v>
      </c>
      <c r="J15" s="1" t="s">
        <v>228</v>
      </c>
      <c r="K15" s="1" t="s">
        <v>228</v>
      </c>
      <c r="L15" s="1" t="s">
        <v>228</v>
      </c>
      <c r="M15" s="1" t="s">
        <v>228</v>
      </c>
      <c r="N15" s="1" t="s">
        <v>228</v>
      </c>
      <c r="O15" s="1" t="s">
        <v>228</v>
      </c>
      <c r="P15" s="1" t="s">
        <v>228</v>
      </c>
      <c r="Q15" s="1" t="s">
        <v>228</v>
      </c>
      <c r="R15" s="1" t="s">
        <v>228</v>
      </c>
      <c r="S15" s="1" t="s">
        <v>228</v>
      </c>
      <c r="T15" s="1" t="s">
        <v>228</v>
      </c>
      <c r="U15" s="1" t="s">
        <v>228</v>
      </c>
      <c r="V15" s="1" t="s">
        <v>228</v>
      </c>
      <c r="W15" s="1" t="s">
        <v>228</v>
      </c>
      <c r="X15" s="1" t="s">
        <v>228</v>
      </c>
      <c r="Y15" s="1" t="s">
        <v>228</v>
      </c>
      <c r="Z15" s="1" t="s">
        <v>228</v>
      </c>
      <c r="AA15" s="1" t="s">
        <v>228</v>
      </c>
      <c r="AB15" s="1" t="s">
        <v>228</v>
      </c>
      <c r="AC15" s="1" t="s">
        <v>228</v>
      </c>
      <c r="AD15" s="1" t="s">
        <v>228</v>
      </c>
      <c r="AE15" s="1" t="s">
        <v>228</v>
      </c>
      <c r="AF15" s="84" t="s">
        <v>228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L48"/>
  <sheetViews>
    <sheetView zoomScale="115" zoomScaleNormal="115" workbookViewId="0">
      <pane ySplit="3" topLeftCell="A4" activePane="bottomLeft" state="frozen"/>
      <selection activeCell="B1" sqref="B1"/>
      <selection pane="bottomLeft" activeCell="B6" sqref="B6"/>
    </sheetView>
  </sheetViews>
  <sheetFormatPr defaultRowHeight="13.5"/>
  <cols>
    <col min="1" max="1" width="4.375" style="10" customWidth="1"/>
    <col min="2" max="2" width="55.75" style="55" customWidth="1"/>
    <col min="3" max="3" width="12" style="10" customWidth="1"/>
    <col min="4" max="8" width="11.625" style="10" customWidth="1"/>
    <col min="9" max="9" width="14.125" style="10" customWidth="1"/>
    <col min="10" max="10" width="11.625" style="10" customWidth="1"/>
    <col min="11" max="11" width="55" bestFit="1" customWidth="1"/>
  </cols>
  <sheetData>
    <row r="1" spans="1:12">
      <c r="A1" s="42"/>
      <c r="B1" s="52" t="s">
        <v>69</v>
      </c>
      <c r="C1" s="43" t="s">
        <v>77</v>
      </c>
    </row>
    <row r="2" spans="1:12" ht="20.25">
      <c r="A2" s="87">
        <v>43344</v>
      </c>
      <c r="B2" s="88"/>
      <c r="C2" s="88"/>
      <c r="D2" s="88"/>
      <c r="E2" s="88"/>
      <c r="F2" s="88"/>
      <c r="G2" s="88"/>
      <c r="H2" s="88"/>
      <c r="I2" s="88"/>
      <c r="J2" s="88"/>
    </row>
    <row r="3" spans="1:12" ht="15">
      <c r="A3" s="41" t="s">
        <v>39</v>
      </c>
      <c r="B3" s="53" t="s">
        <v>40</v>
      </c>
      <c r="C3" s="41" t="s">
        <v>4</v>
      </c>
      <c r="D3" s="41" t="s">
        <v>41</v>
      </c>
      <c r="E3" s="41" t="s">
        <v>5</v>
      </c>
      <c r="F3" s="41" t="s">
        <v>6</v>
      </c>
      <c r="G3" s="41" t="s">
        <v>7</v>
      </c>
      <c r="H3" s="41" t="s">
        <v>8</v>
      </c>
      <c r="I3" s="41" t="s">
        <v>9</v>
      </c>
      <c r="J3" s="41" t="s">
        <v>10</v>
      </c>
    </row>
    <row r="4" spans="1:12">
      <c r="A4" s="7">
        <v>1</v>
      </c>
      <c r="B4" s="59" t="s">
        <v>72</v>
      </c>
      <c r="C4" s="49"/>
      <c r="D4" s="49"/>
      <c r="E4" s="49"/>
      <c r="F4" s="49"/>
      <c r="G4" s="49"/>
      <c r="H4" s="49"/>
      <c r="I4" s="49"/>
      <c r="J4" s="49"/>
      <c r="K4" t="s">
        <v>64</v>
      </c>
      <c r="L4" s="7">
        <v>1</v>
      </c>
    </row>
    <row r="5" spans="1:12">
      <c r="A5" s="7">
        <v>2</v>
      </c>
      <c r="B5" s="59" t="s">
        <v>73</v>
      </c>
      <c r="C5" s="49"/>
      <c r="D5" s="49"/>
      <c r="E5" s="49"/>
      <c r="F5" s="49"/>
      <c r="G5" s="49"/>
      <c r="H5" s="49"/>
      <c r="I5" s="49"/>
      <c r="J5" s="49"/>
      <c r="K5" t="s">
        <v>65</v>
      </c>
      <c r="L5" s="7">
        <v>2</v>
      </c>
    </row>
    <row r="6" spans="1:12">
      <c r="A6" s="7">
        <v>3</v>
      </c>
      <c r="B6" s="59" t="s">
        <v>74</v>
      </c>
      <c r="C6" s="49"/>
      <c r="D6" s="49"/>
      <c r="E6" s="49"/>
      <c r="F6" s="49"/>
      <c r="G6" s="49"/>
      <c r="H6" s="49"/>
      <c r="I6" s="49"/>
      <c r="J6" s="49"/>
      <c r="K6" t="s">
        <v>66</v>
      </c>
      <c r="L6" s="7">
        <v>3</v>
      </c>
    </row>
    <row r="7" spans="1:12">
      <c r="A7" s="7">
        <v>4</v>
      </c>
      <c r="B7" s="59" t="s">
        <v>75</v>
      </c>
      <c r="C7" s="49"/>
      <c r="D7" s="49"/>
      <c r="E7" s="49"/>
      <c r="F7" s="49"/>
      <c r="G7" s="49"/>
      <c r="H7" s="49"/>
      <c r="I7" s="49"/>
      <c r="J7" s="49"/>
      <c r="K7" t="s">
        <v>67</v>
      </c>
      <c r="L7" s="7">
        <v>4</v>
      </c>
    </row>
    <row r="8" spans="1:12">
      <c r="A8" s="7">
        <v>5</v>
      </c>
      <c r="B8" s="59" t="s">
        <v>76</v>
      </c>
      <c r="C8" s="49"/>
      <c r="D8" s="49"/>
      <c r="E8" s="49"/>
      <c r="F8" s="49"/>
      <c r="G8" s="49"/>
      <c r="H8" s="49"/>
      <c r="I8" s="49"/>
      <c r="J8" s="49"/>
      <c r="K8" t="s">
        <v>68</v>
      </c>
      <c r="L8" s="7">
        <v>5</v>
      </c>
    </row>
    <row r="9" spans="1:12">
      <c r="A9" s="7">
        <v>6</v>
      </c>
      <c r="B9" s="51"/>
      <c r="C9" s="49"/>
      <c r="D9" s="49"/>
      <c r="E9" s="49"/>
      <c r="F9" s="49"/>
      <c r="G9" s="49"/>
      <c r="H9" s="49"/>
      <c r="I9" s="49"/>
      <c r="J9" s="49"/>
      <c r="K9" t="s">
        <v>70</v>
      </c>
      <c r="L9" s="7">
        <v>6</v>
      </c>
    </row>
    <row r="10" spans="1:12">
      <c r="A10" s="7">
        <v>7</v>
      </c>
      <c r="B10" s="59"/>
      <c r="C10" s="49"/>
      <c r="D10" s="49"/>
      <c r="E10" s="49"/>
      <c r="F10" s="49"/>
      <c r="G10" s="49"/>
      <c r="H10" s="49"/>
      <c r="I10" s="49"/>
      <c r="J10" s="49"/>
      <c r="K10" t="s">
        <v>206</v>
      </c>
      <c r="L10" s="7">
        <v>7</v>
      </c>
    </row>
    <row r="11" spans="1:12">
      <c r="A11" s="7">
        <v>8</v>
      </c>
      <c r="B11" s="51"/>
      <c r="C11" s="49"/>
      <c r="D11" s="49"/>
      <c r="E11" s="49"/>
      <c r="F11" s="49"/>
      <c r="G11" s="49"/>
      <c r="H11" s="49"/>
      <c r="I11" s="49"/>
      <c r="J11" s="49"/>
      <c r="K11" t="s">
        <v>71</v>
      </c>
      <c r="L11" s="7">
        <v>8</v>
      </c>
    </row>
    <row r="12" spans="1:12">
      <c r="A12" s="7">
        <v>10</v>
      </c>
      <c r="B12" s="50"/>
      <c r="C12" s="49"/>
      <c r="D12" s="49"/>
      <c r="E12" s="49"/>
      <c r="F12" s="49"/>
      <c r="G12" s="49"/>
      <c r="H12" s="49"/>
      <c r="I12" s="49"/>
      <c r="J12" s="49"/>
      <c r="K12" s="58"/>
      <c r="L12" s="7">
        <v>10</v>
      </c>
    </row>
    <row r="13" spans="1:12">
      <c r="A13" s="7">
        <v>11</v>
      </c>
      <c r="B13" s="50"/>
      <c r="C13" s="49"/>
      <c r="D13" s="49"/>
      <c r="E13" s="49"/>
      <c r="F13" s="49"/>
      <c r="G13" s="49"/>
      <c r="H13" s="49"/>
      <c r="I13" s="49"/>
      <c r="J13" s="49"/>
      <c r="K13" s="58"/>
      <c r="L13" s="7">
        <v>11</v>
      </c>
    </row>
    <row r="14" spans="1:12">
      <c r="A14" s="7">
        <v>12</v>
      </c>
      <c r="B14" s="50"/>
      <c r="C14" s="49"/>
      <c r="D14" s="49"/>
      <c r="E14" s="49"/>
      <c r="F14" s="49"/>
      <c r="G14" s="49"/>
      <c r="H14" s="49"/>
      <c r="I14" s="49"/>
      <c r="J14" s="49"/>
      <c r="L14" s="7">
        <v>12</v>
      </c>
    </row>
    <row r="15" spans="1:12">
      <c r="A15" s="7">
        <v>13</v>
      </c>
      <c r="B15" s="50"/>
      <c r="C15" s="49"/>
      <c r="D15" s="49"/>
      <c r="E15" s="49"/>
      <c r="F15" s="49"/>
      <c r="G15" s="49"/>
      <c r="H15" s="49"/>
      <c r="I15" s="49"/>
      <c r="J15" s="49"/>
      <c r="L15" s="7">
        <v>13</v>
      </c>
    </row>
    <row r="16" spans="1:12">
      <c r="A16" s="7">
        <v>14</v>
      </c>
      <c r="B16" s="50"/>
      <c r="C16" s="49"/>
      <c r="D16" s="49"/>
      <c r="E16" s="49"/>
      <c r="F16" s="49"/>
      <c r="G16" s="49"/>
      <c r="H16" s="49"/>
      <c r="I16" s="49"/>
      <c r="J16" s="49"/>
      <c r="L16" s="7">
        <v>14</v>
      </c>
    </row>
    <row r="17" spans="1:12">
      <c r="A17" s="7">
        <v>15</v>
      </c>
      <c r="B17" s="50"/>
      <c r="C17" s="49"/>
      <c r="D17" s="49"/>
      <c r="E17" s="49"/>
      <c r="F17" s="49"/>
      <c r="G17" s="49"/>
      <c r="H17" s="49"/>
      <c r="I17" s="49"/>
      <c r="J17" s="49"/>
      <c r="L17" s="7">
        <v>15</v>
      </c>
    </row>
    <row r="18" spans="1:12">
      <c r="A18" s="7">
        <v>16</v>
      </c>
      <c r="B18" s="50"/>
      <c r="C18" s="49"/>
      <c r="D18" s="49"/>
      <c r="E18" s="49"/>
      <c r="F18" s="49"/>
      <c r="G18" s="49"/>
      <c r="H18" s="49"/>
      <c r="I18" s="49"/>
      <c r="J18" s="49"/>
      <c r="L18" s="7">
        <v>16</v>
      </c>
    </row>
    <row r="19" spans="1:12">
      <c r="A19" s="7">
        <v>17</v>
      </c>
      <c r="B19" s="50"/>
      <c r="C19" s="49"/>
      <c r="D19" s="49"/>
      <c r="E19" s="49"/>
      <c r="F19" s="49"/>
      <c r="G19" s="49"/>
      <c r="H19" s="49"/>
      <c r="I19" s="49"/>
      <c r="J19" s="49"/>
      <c r="L19" s="7">
        <v>17</v>
      </c>
    </row>
    <row r="20" spans="1:12">
      <c r="A20" s="7">
        <v>19</v>
      </c>
      <c r="B20" s="50"/>
      <c r="C20" s="49"/>
      <c r="D20" s="49"/>
      <c r="E20" s="49"/>
      <c r="F20" s="49"/>
      <c r="G20" s="49"/>
      <c r="H20" s="49"/>
      <c r="I20" s="49"/>
      <c r="J20" s="49"/>
      <c r="L20" s="7">
        <v>19</v>
      </c>
    </row>
    <row r="21" spans="1:12">
      <c r="A21" s="7">
        <v>20</v>
      </c>
      <c r="B21" s="50"/>
      <c r="C21" s="49"/>
      <c r="D21" s="49"/>
      <c r="E21" s="49"/>
      <c r="F21" s="49"/>
      <c r="G21" s="49"/>
      <c r="H21" s="49"/>
      <c r="I21" s="49"/>
      <c r="J21" s="49"/>
      <c r="L21" s="7">
        <v>20</v>
      </c>
    </row>
    <row r="22" spans="1:12">
      <c r="A22" s="7">
        <v>21</v>
      </c>
      <c r="B22" s="50"/>
      <c r="C22" s="49"/>
      <c r="D22" s="49"/>
      <c r="E22" s="49"/>
      <c r="F22" s="49"/>
      <c r="G22" s="49"/>
      <c r="H22" s="49"/>
      <c r="I22" s="49"/>
      <c r="J22" s="49"/>
      <c r="L22" s="7">
        <v>21</v>
      </c>
    </row>
    <row r="23" spans="1:12">
      <c r="A23" s="7">
        <v>22</v>
      </c>
      <c r="B23" s="50"/>
      <c r="C23" s="49"/>
      <c r="D23" s="49"/>
      <c r="E23" s="49"/>
      <c r="F23" s="49"/>
      <c r="G23" s="49"/>
      <c r="H23" s="49"/>
      <c r="I23" s="49"/>
      <c r="J23" s="49"/>
      <c r="L23" s="7">
        <v>22</v>
      </c>
    </row>
    <row r="24" spans="1:12">
      <c r="A24" s="7">
        <v>23</v>
      </c>
      <c r="B24" s="50"/>
      <c r="C24" s="49"/>
      <c r="D24" s="49"/>
      <c r="E24" s="49"/>
      <c r="F24" s="49"/>
      <c r="G24" s="49"/>
      <c r="H24" s="49"/>
      <c r="I24" s="49"/>
      <c r="J24" s="49"/>
      <c r="L24" s="7">
        <v>23</v>
      </c>
    </row>
    <row r="25" spans="1:12">
      <c r="A25" s="7"/>
      <c r="B25" s="50"/>
      <c r="C25" s="49"/>
      <c r="D25" s="49"/>
      <c r="E25" s="49"/>
      <c r="F25" s="49"/>
      <c r="G25" s="49"/>
      <c r="H25" s="49"/>
      <c r="I25" s="49"/>
      <c r="J25" s="49"/>
    </row>
    <row r="26" spans="1:12">
      <c r="A26" s="7"/>
      <c r="B26" s="50"/>
      <c r="C26" s="49"/>
      <c r="D26" s="49"/>
      <c r="E26" s="49"/>
      <c r="F26" s="49"/>
      <c r="G26" s="49"/>
      <c r="H26" s="49"/>
      <c r="I26" s="49"/>
      <c r="J26" s="49"/>
    </row>
    <row r="27" spans="1:12">
      <c r="A27" s="7"/>
      <c r="B27" s="50"/>
      <c r="C27" s="49"/>
      <c r="D27" s="49"/>
      <c r="E27" s="49"/>
      <c r="F27" s="49"/>
      <c r="G27" s="49"/>
      <c r="H27" s="49"/>
      <c r="I27" s="49"/>
      <c r="J27" s="49"/>
    </row>
    <row r="28" spans="1:12">
      <c r="A28" s="7"/>
      <c r="B28" s="50"/>
      <c r="C28" s="49"/>
      <c r="D28" s="49"/>
      <c r="E28" s="49"/>
      <c r="F28" s="49"/>
      <c r="G28" s="49"/>
      <c r="H28" s="49"/>
      <c r="I28" s="49"/>
      <c r="J28" s="49"/>
    </row>
    <row r="29" spans="1:12">
      <c r="A29" s="7"/>
      <c r="B29" s="50"/>
      <c r="C29" s="49"/>
      <c r="D29" s="49"/>
      <c r="E29" s="49"/>
      <c r="F29" s="49"/>
      <c r="G29" s="49"/>
      <c r="H29" s="49"/>
      <c r="I29" s="49"/>
      <c r="J29" s="49"/>
    </row>
    <row r="30" spans="1:12">
      <c r="A30" s="7"/>
      <c r="B30" s="50"/>
      <c r="C30" s="49"/>
      <c r="D30" s="49"/>
      <c r="E30" s="49"/>
      <c r="F30" s="49"/>
      <c r="G30" s="49"/>
      <c r="H30" s="49"/>
      <c r="I30" s="49"/>
      <c r="J30" s="49"/>
    </row>
    <row r="31" spans="1:12">
      <c r="A31" s="7"/>
      <c r="B31" s="54"/>
      <c r="C31" s="49"/>
      <c r="D31" s="49"/>
      <c r="E31" s="49"/>
      <c r="F31" s="49"/>
      <c r="G31" s="49"/>
      <c r="H31" s="49"/>
      <c r="I31" s="49"/>
      <c r="J31" s="49"/>
    </row>
    <row r="32" spans="1:12">
      <c r="A32" s="7"/>
      <c r="B32" s="54"/>
      <c r="C32" s="49"/>
      <c r="D32" s="49"/>
      <c r="E32" s="49"/>
      <c r="F32" s="49"/>
      <c r="G32" s="49"/>
      <c r="H32" s="49"/>
      <c r="I32" s="49"/>
      <c r="J32" s="49"/>
    </row>
    <row r="33" spans="1:10">
      <c r="A33" s="7"/>
      <c r="B33" s="54"/>
      <c r="C33" s="49"/>
      <c r="D33" s="49"/>
      <c r="E33" s="49"/>
      <c r="F33" s="49"/>
      <c r="G33" s="49"/>
      <c r="H33" s="49"/>
      <c r="I33" s="49"/>
      <c r="J33" s="49"/>
    </row>
    <row r="34" spans="1:10">
      <c r="A34" s="7"/>
      <c r="B34" s="54"/>
      <c r="C34" s="49"/>
      <c r="D34" s="49"/>
      <c r="E34" s="49"/>
      <c r="F34" s="49"/>
      <c r="G34" s="49"/>
      <c r="H34" s="49"/>
      <c r="I34" s="49"/>
      <c r="J34" s="49"/>
    </row>
    <row r="35" spans="1:10">
      <c r="A35" s="7"/>
      <c r="B35" s="54"/>
      <c r="C35" s="9"/>
      <c r="D35" s="9"/>
      <c r="E35" s="9"/>
      <c r="F35" s="9"/>
      <c r="G35" s="9"/>
      <c r="H35" s="9"/>
      <c r="I35" s="9"/>
      <c r="J35" s="9"/>
    </row>
    <row r="36" spans="1:10">
      <c r="A36" s="7"/>
      <c r="B36" s="54"/>
      <c r="C36" s="9"/>
      <c r="D36" s="9"/>
      <c r="E36" s="9"/>
      <c r="F36" s="9"/>
      <c r="G36" s="9"/>
      <c r="H36" s="9"/>
      <c r="I36" s="9"/>
      <c r="J36" s="9"/>
    </row>
    <row r="37" spans="1:10">
      <c r="A37" s="7"/>
      <c r="B37" s="54"/>
      <c r="C37" s="9"/>
      <c r="D37" s="9"/>
      <c r="E37" s="9"/>
      <c r="F37" s="9"/>
      <c r="G37" s="48"/>
      <c r="H37" s="48"/>
      <c r="I37" s="9"/>
      <c r="J37" s="9"/>
    </row>
    <row r="38" spans="1:10">
      <c r="A38" s="7"/>
      <c r="B38" s="54"/>
      <c r="C38" s="9"/>
      <c r="D38" s="9"/>
      <c r="E38" s="9"/>
      <c r="F38" s="9"/>
      <c r="G38" s="9"/>
      <c r="H38" s="9"/>
      <c r="I38" s="9"/>
      <c r="J38" s="9"/>
    </row>
    <row r="39" spans="1:10">
      <c r="A39" s="7"/>
      <c r="B39" s="54"/>
      <c r="C39" s="9"/>
      <c r="D39" s="9"/>
      <c r="E39" s="9"/>
      <c r="F39" s="9"/>
      <c r="G39" s="9"/>
      <c r="H39" s="9"/>
      <c r="I39" s="9"/>
      <c r="J39" s="9"/>
    </row>
    <row r="40" spans="1:10">
      <c r="A40" s="7"/>
      <c r="B40" s="54"/>
      <c r="C40" s="9"/>
      <c r="D40" s="9"/>
      <c r="E40" s="9"/>
      <c r="F40" s="9"/>
      <c r="G40" s="9"/>
      <c r="H40" s="9"/>
      <c r="I40" s="9"/>
      <c r="J40" s="9"/>
    </row>
    <row r="41" spans="1:10">
      <c r="A41" s="7"/>
      <c r="B41" s="54"/>
      <c r="C41" s="9"/>
      <c r="D41" s="9"/>
      <c r="E41" s="9"/>
      <c r="F41" s="9"/>
      <c r="G41" s="9"/>
      <c r="H41" s="9"/>
      <c r="I41" s="9"/>
      <c r="J41" s="9"/>
    </row>
    <row r="42" spans="1:10">
      <c r="A42" s="7"/>
      <c r="B42" s="54"/>
      <c r="C42" s="9"/>
      <c r="D42" s="9"/>
      <c r="E42" s="9"/>
      <c r="F42" s="9"/>
      <c r="G42" s="9"/>
      <c r="H42" s="9"/>
      <c r="I42" s="9"/>
      <c r="J42" s="9"/>
    </row>
    <row r="43" spans="1:10">
      <c r="A43" s="7"/>
      <c r="B43" s="54"/>
      <c r="C43" s="9"/>
      <c r="D43" s="9"/>
      <c r="E43" s="9"/>
      <c r="F43" s="9"/>
      <c r="G43" s="9"/>
      <c r="H43" s="9"/>
      <c r="I43" s="9"/>
      <c r="J43" s="9"/>
    </row>
    <row r="44" spans="1:10">
      <c r="A44" s="7"/>
      <c r="B44" s="54"/>
      <c r="C44" s="9"/>
      <c r="D44" s="9"/>
      <c r="E44" s="9"/>
      <c r="F44" s="9"/>
      <c r="G44" s="9"/>
      <c r="H44" s="9"/>
      <c r="I44" s="9"/>
      <c r="J44" s="9"/>
    </row>
    <row r="45" spans="1:10">
      <c r="A45" s="7"/>
      <c r="B45" s="54"/>
      <c r="C45" s="9"/>
      <c r="D45" s="9"/>
      <c r="E45" s="9"/>
      <c r="F45" s="9"/>
      <c r="G45" s="9"/>
      <c r="H45" s="9"/>
      <c r="I45" s="9"/>
      <c r="J45" s="9"/>
    </row>
    <row r="46" spans="1:10">
      <c r="A46" s="7"/>
      <c r="B46" s="54"/>
      <c r="C46" s="9"/>
      <c r="D46" s="9"/>
      <c r="E46" s="9"/>
      <c r="F46" s="9"/>
      <c r="G46" s="9"/>
      <c r="H46" s="9"/>
      <c r="I46" s="9"/>
      <c r="J46" s="9"/>
    </row>
    <row r="47" spans="1:10">
      <c r="A47" s="7"/>
      <c r="B47" s="54"/>
      <c r="C47" s="9"/>
      <c r="D47" s="9"/>
      <c r="E47" s="9"/>
      <c r="F47" s="9"/>
      <c r="G47" s="9"/>
      <c r="H47" s="9"/>
      <c r="I47" s="9"/>
      <c r="J47" s="9"/>
    </row>
    <row r="48" spans="1:10">
      <c r="A48" s="7"/>
      <c r="B48" s="54"/>
      <c r="C48" s="9"/>
      <c r="D48" s="9"/>
      <c r="E48" s="9"/>
      <c r="F48" s="9"/>
      <c r="G48" s="9"/>
      <c r="H48" s="9"/>
      <c r="I48" s="9"/>
      <c r="J48" s="9"/>
    </row>
  </sheetData>
  <autoFilter ref="A3:L24"/>
  <sortState ref="A1:A7">
    <sortCondition ref="A1"/>
  </sortState>
  <mergeCells count="1">
    <mergeCell ref="A2:J2"/>
  </mergeCells>
  <phoneticPr fontId="8" type="noConversion"/>
  <dataValidations count="1">
    <dataValidation type="list" showInputMessage="1" showErrorMessage="1" sqref="B1">
      <formula1>"D:\高拍仪\Photo,G:\发票结果查询\7月"</formula1>
    </dataValidation>
  </dataValidations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K19"/>
  <sheetViews>
    <sheetView view="pageBreakPreview" topLeftCell="B1" zoomScale="70" zoomScaleNormal="100" zoomScaleSheetLayoutView="70" workbookViewId="0">
      <pane ySplit="6" topLeftCell="A10" activePane="bottomLeft" state="frozenSplit"/>
      <selection activeCell="J11" sqref="J11"/>
      <selection pane="bottomLeft" activeCell="I17" sqref="I17"/>
    </sheetView>
  </sheetViews>
  <sheetFormatPr defaultColWidth="9" defaultRowHeight="13.5"/>
  <cols>
    <col min="1" max="1" width="8" style="14" hidden="1" customWidth="1"/>
    <col min="2" max="2" width="14.625" style="14" customWidth="1"/>
    <col min="3" max="3" width="34.375" style="14" bestFit="1" customWidth="1"/>
    <col min="4" max="4" width="18.5" style="14" customWidth="1"/>
    <col min="5" max="5" width="28.25" style="14" bestFit="1" customWidth="1"/>
    <col min="6" max="6" width="23.125" style="14" customWidth="1"/>
    <col min="7" max="7" width="26.5" style="14" customWidth="1"/>
    <col min="8" max="8" width="20.75" style="14" customWidth="1"/>
    <col min="9" max="9" width="9.375" style="14" customWidth="1"/>
    <col min="10" max="10" width="32.25" style="14" bestFit="1" customWidth="1"/>
    <col min="11" max="16384" width="9" style="14"/>
  </cols>
  <sheetData>
    <row r="1" spans="2:11" ht="28.5" customHeight="1"/>
    <row r="2" spans="2:11" s="39" customFormat="1" ht="23.25" customHeight="1">
      <c r="B2" s="90" t="s">
        <v>31</v>
      </c>
      <c r="C2" s="90"/>
      <c r="D2" s="90"/>
      <c r="E2" s="90"/>
      <c r="F2" s="90"/>
      <c r="G2" s="90"/>
      <c r="H2" s="90"/>
    </row>
    <row r="3" spans="2:11" s="39" customFormat="1" ht="27.75" customHeight="1">
      <c r="B3" s="91" t="s">
        <v>30</v>
      </c>
      <c r="C3" s="91"/>
      <c r="D3" s="91"/>
      <c r="E3" s="91"/>
      <c r="F3" s="91"/>
      <c r="G3" s="91"/>
      <c r="H3" s="91"/>
    </row>
    <row r="4" spans="2:11" s="17" customFormat="1" ht="30.75" customHeight="1">
      <c r="B4" s="92" t="s">
        <v>38</v>
      </c>
      <c r="C4" s="92"/>
      <c r="D4" s="92"/>
      <c r="E4" s="92"/>
      <c r="F4" s="92"/>
      <c r="G4" s="92"/>
      <c r="H4" s="92"/>
    </row>
    <row r="5" spans="2:11" s="17" customFormat="1" ht="30.75" customHeight="1">
      <c r="B5" s="17" t="s">
        <v>29</v>
      </c>
      <c r="C5" s="93" t="s">
        <v>35</v>
      </c>
      <c r="D5" s="94"/>
    </row>
    <row r="6" spans="2:11" s="16" customFormat="1" ht="33" customHeight="1">
      <c r="B6" s="22" t="s">
        <v>28</v>
      </c>
      <c r="C6" s="38" t="s">
        <v>27</v>
      </c>
      <c r="D6" s="22" t="s">
        <v>26</v>
      </c>
      <c r="E6" s="22" t="s">
        <v>25</v>
      </c>
      <c r="F6" s="22" t="s">
        <v>24</v>
      </c>
      <c r="G6" s="22" t="s">
        <v>23</v>
      </c>
      <c r="H6" s="22" t="s">
        <v>22</v>
      </c>
      <c r="J6" s="40" t="s">
        <v>32</v>
      </c>
      <c r="K6" s="16" t="s">
        <v>21</v>
      </c>
    </row>
    <row r="7" spans="2:11" s="20" customFormat="1" ht="74.25" customHeight="1">
      <c r="B7" s="37">
        <v>1</v>
      </c>
      <c r="C7" s="36" t="s">
        <v>36</v>
      </c>
      <c r="D7" s="35">
        <v>43193</v>
      </c>
      <c r="E7" s="32" t="s">
        <v>37</v>
      </c>
      <c r="F7" s="34">
        <v>215400</v>
      </c>
      <c r="G7" s="29">
        <v>6</v>
      </c>
      <c r="H7" s="28"/>
      <c r="J7" s="40" t="s">
        <v>33</v>
      </c>
      <c r="K7" s="20" t="s">
        <v>20</v>
      </c>
    </row>
    <row r="8" spans="2:11" s="20" customFormat="1" ht="27" customHeight="1">
      <c r="B8" s="28"/>
      <c r="C8" s="33"/>
      <c r="D8" s="32"/>
      <c r="E8" s="31"/>
      <c r="F8" s="30"/>
      <c r="G8" s="29"/>
      <c r="H8" s="28"/>
      <c r="J8" s="40" t="s">
        <v>34</v>
      </c>
      <c r="K8" s="20" t="s">
        <v>19</v>
      </c>
    </row>
    <row r="9" spans="2:11" s="20" customFormat="1" ht="27" customHeight="1">
      <c r="B9" s="22"/>
      <c r="C9" s="27"/>
      <c r="D9" s="25"/>
      <c r="E9" s="26"/>
      <c r="F9" s="19"/>
      <c r="G9" s="21"/>
      <c r="H9" s="22"/>
      <c r="I9" s="20">
        <v>7</v>
      </c>
      <c r="J9" s="40" t="s">
        <v>78</v>
      </c>
      <c r="K9" s="20" t="s">
        <v>18</v>
      </c>
    </row>
    <row r="10" spans="2:11" s="20" customFormat="1" ht="24.95" customHeight="1">
      <c r="B10" s="22"/>
      <c r="C10" s="27"/>
      <c r="D10" s="25"/>
      <c r="E10" s="26"/>
      <c r="F10" s="19"/>
      <c r="G10" s="21"/>
      <c r="H10" s="22"/>
      <c r="J10" s="40">
        <v>604727.5</v>
      </c>
      <c r="K10" s="20" t="s">
        <v>17</v>
      </c>
    </row>
    <row r="11" spans="2:11" s="20" customFormat="1" ht="24.95" customHeight="1">
      <c r="B11" s="22"/>
      <c r="C11" s="23"/>
      <c r="D11" s="25"/>
      <c r="E11" s="24"/>
      <c r="F11" s="19"/>
      <c r="G11" s="21"/>
      <c r="H11" s="22"/>
    </row>
    <row r="12" spans="2:11" s="20" customFormat="1" ht="24.95" customHeight="1">
      <c r="B12" s="22"/>
      <c r="C12" s="23"/>
      <c r="D12" s="25"/>
      <c r="E12" s="24"/>
      <c r="F12" s="19"/>
      <c r="G12" s="21"/>
      <c r="H12" s="22"/>
    </row>
    <row r="13" spans="2:11" s="20" customFormat="1" ht="24.95" customHeight="1">
      <c r="B13" s="22"/>
      <c r="C13" s="23"/>
      <c r="D13" s="25"/>
      <c r="E13" s="24"/>
      <c r="F13" s="19"/>
      <c r="G13" s="21"/>
      <c r="H13" s="18"/>
    </row>
    <row r="14" spans="2:11" s="20" customFormat="1" ht="24.95" customHeight="1">
      <c r="B14" s="22"/>
      <c r="C14" s="23"/>
      <c r="D14" s="22"/>
      <c r="E14" s="22"/>
      <c r="F14" s="19"/>
      <c r="G14" s="21"/>
      <c r="H14" s="18"/>
    </row>
    <row r="15" spans="2:11" s="20" customFormat="1" ht="24.95" customHeight="1">
      <c r="B15" s="22"/>
      <c r="C15" s="23"/>
      <c r="D15" s="22"/>
      <c r="E15" s="22"/>
      <c r="F15" s="19"/>
      <c r="G15" s="21"/>
      <c r="H15" s="18"/>
    </row>
    <row r="16" spans="2:11" s="17" customFormat="1" ht="36.75" customHeight="1">
      <c r="B16" s="95" t="s">
        <v>16</v>
      </c>
      <c r="C16" s="95"/>
      <c r="D16" s="96" t="str">
        <f>IF(G16&lt;0,"无效金额",IF(G16&lt;1,"",TEXT(INT(G16),"[DBNUM2]")&amp;"元")&amp;IF(--RIGHT(TEXT(G16,"0.00"),2)=0,IF(G16=0,"零元","")&amp;"整",IF(INT(G16*10)=0,"",TEXT(INT(G16*10)-INT(G16)*10,"[DBNUM2]"))&amp;IF(INT(G16*10)=0,"","角")&amp;IF(INT(G16*100)-INT(G16*10)*10=0,"整",TEXT((INT(G16*100)-INT(G16*10)*10),"[DBNUM2]")&amp;"分")))</f>
        <v>贰拾壹万伍仟肆佰元整</v>
      </c>
      <c r="E16" s="96"/>
      <c r="F16" s="97"/>
      <c r="G16" s="19">
        <f>F7</f>
        <v>215400</v>
      </c>
      <c r="H16" s="18"/>
    </row>
    <row r="17" spans="2:8" s="16" customFormat="1" ht="25.5" customHeight="1">
      <c r="B17" s="89" t="s">
        <v>15</v>
      </c>
      <c r="C17" s="89"/>
      <c r="D17" s="89"/>
      <c r="E17" s="89"/>
      <c r="F17" s="89"/>
      <c r="G17" s="89"/>
      <c r="H17" s="89"/>
    </row>
    <row r="18" spans="2:8" ht="30" customHeight="1">
      <c r="B18" s="89" t="s">
        <v>14</v>
      </c>
      <c r="C18" s="89"/>
      <c r="D18" s="89"/>
      <c r="E18" s="89"/>
      <c r="F18" s="89"/>
      <c r="G18" s="89"/>
      <c r="H18" s="89"/>
    </row>
    <row r="19" spans="2:8" ht="52.5" customHeight="1">
      <c r="B19" s="15"/>
      <c r="C19" s="15"/>
      <c r="D19" s="15"/>
      <c r="E19" s="15"/>
      <c r="F19" s="15"/>
      <c r="G19" s="15"/>
      <c r="H19" s="15"/>
    </row>
  </sheetData>
  <mergeCells count="8">
    <mergeCell ref="B17:H17"/>
    <mergeCell ref="B18:H18"/>
    <mergeCell ref="B2:H2"/>
    <mergeCell ref="B3:H3"/>
    <mergeCell ref="B4:H4"/>
    <mergeCell ref="C5:D5"/>
    <mergeCell ref="B16:C16"/>
    <mergeCell ref="D16:F16"/>
  </mergeCells>
  <phoneticPr fontId="1" type="noConversion"/>
  <printOptions horizontalCentered="1"/>
  <pageMargins left="0.28888888888888897" right="0.50902777777777797" top="0.58888888888888902" bottom="0.4" header="0.30902777777777801" footer="0.30902777777777801"/>
  <pageSetup paperSize="9" scale="85" orientation="landscape" r:id="rId1"/>
  <headerFooter scaleWithDoc="0"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90"/>
  <sheetViews>
    <sheetView zoomScale="85" zoomScaleNormal="85" workbookViewId="0">
      <selection activeCell="B1" sqref="B1"/>
    </sheetView>
  </sheetViews>
  <sheetFormatPr defaultRowHeight="13.5"/>
  <cols>
    <col min="1" max="1" width="63" style="3" bestFit="1" customWidth="1"/>
    <col min="2" max="2" width="35.5" customWidth="1"/>
    <col min="3" max="3" width="9.5" customWidth="1"/>
    <col min="4" max="4" width="24.5" customWidth="1"/>
    <col min="5" max="5" width="55.5" customWidth="1"/>
  </cols>
  <sheetData>
    <row r="1" spans="1:5">
      <c r="A1" t="s">
        <v>471</v>
      </c>
      <c r="B1" s="11" t="s">
        <v>472</v>
      </c>
      <c r="C1" s="45"/>
      <c r="D1" s="1" t="s">
        <v>1</v>
      </c>
      <c r="E1" s="8" t="s">
        <v>470</v>
      </c>
    </row>
    <row r="2" spans="1:5">
      <c r="A2"/>
      <c r="B2" s="11"/>
      <c r="C2" s="45"/>
    </row>
    <row r="3" spans="1:5">
      <c r="A3"/>
      <c r="B3" s="11"/>
      <c r="C3" s="45"/>
      <c r="D3" s="11"/>
    </row>
    <row r="4" spans="1:5">
      <c r="A4"/>
      <c r="B4" s="11"/>
      <c r="C4" s="45"/>
    </row>
    <row r="5" spans="1:5">
      <c r="A5"/>
      <c r="B5" s="11"/>
      <c r="C5" s="45"/>
    </row>
    <row r="6" spans="1:5">
      <c r="A6"/>
      <c r="B6" s="11"/>
      <c r="C6" s="45"/>
    </row>
    <row r="7" spans="1:5">
      <c r="A7"/>
      <c r="B7" s="11"/>
      <c r="C7" s="45"/>
      <c r="D7" s="11"/>
    </row>
    <row r="8" spans="1:5">
      <c r="A8"/>
      <c r="B8" s="11"/>
      <c r="C8" s="45"/>
    </row>
    <row r="9" spans="1:5">
      <c r="A9"/>
      <c r="B9" s="11"/>
      <c r="C9" s="45"/>
      <c r="D9" s="11"/>
    </row>
    <row r="10" spans="1:5">
      <c r="A10"/>
      <c r="B10" s="11"/>
      <c r="C10" s="45"/>
    </row>
    <row r="11" spans="1:5">
      <c r="A11"/>
      <c r="B11" s="11"/>
      <c r="C11" s="45"/>
    </row>
    <row r="12" spans="1:5">
      <c r="A12"/>
      <c r="B12" s="11"/>
      <c r="C12" s="45"/>
    </row>
    <row r="13" spans="1:5">
      <c r="A13"/>
      <c r="B13" s="11"/>
      <c r="C13" s="45"/>
      <c r="D13" s="11"/>
    </row>
    <row r="14" spans="1:5">
      <c r="A14"/>
      <c r="B14" s="11"/>
      <c r="C14" s="45"/>
    </row>
    <row r="15" spans="1:5">
      <c r="A15"/>
      <c r="B15" s="11"/>
      <c r="C15" s="45"/>
    </row>
    <row r="16" spans="1:5">
      <c r="A16"/>
      <c r="B16" s="11"/>
      <c r="C16" s="45"/>
    </row>
    <row r="17" spans="1:3">
      <c r="A17"/>
      <c r="B17" s="11"/>
      <c r="C17" s="45"/>
    </row>
    <row r="18" spans="1:3">
      <c r="A18"/>
      <c r="B18" s="11"/>
      <c r="C18" s="45"/>
    </row>
    <row r="19" spans="1:3">
      <c r="A19"/>
      <c r="B19" s="11"/>
      <c r="C19" s="45"/>
    </row>
    <row r="20" spans="1:3">
      <c r="A20"/>
      <c r="B20" s="11"/>
      <c r="C20" s="45"/>
    </row>
    <row r="21" spans="1:3">
      <c r="A21"/>
      <c r="B21" s="11"/>
      <c r="C21" s="45"/>
    </row>
    <row r="22" spans="1:3">
      <c r="A22"/>
      <c r="B22" s="11"/>
      <c r="C22" s="45"/>
    </row>
    <row r="23" spans="1:3">
      <c r="A23"/>
      <c r="B23" s="11"/>
      <c r="C23" s="45"/>
    </row>
    <row r="24" spans="1:3">
      <c r="A24"/>
      <c r="B24" s="11"/>
    </row>
    <row r="25" spans="1:3">
      <c r="A25"/>
      <c r="B25" s="11"/>
    </row>
    <row r="26" spans="1:3">
      <c r="A26"/>
      <c r="B26" s="11"/>
    </row>
    <row r="27" spans="1:3">
      <c r="A27"/>
      <c r="B27" s="11"/>
    </row>
    <row r="28" spans="1:3">
      <c r="A28"/>
      <c r="B28" s="11"/>
    </row>
    <row r="29" spans="1:3">
      <c r="A29"/>
      <c r="B29" s="11"/>
    </row>
    <row r="30" spans="1:3">
      <c r="A30"/>
      <c r="B30" s="11"/>
    </row>
    <row r="31" spans="1:3">
      <c r="A31"/>
      <c r="B31" s="11"/>
    </row>
    <row r="32" spans="1:3">
      <c r="A32"/>
      <c r="B32" s="11"/>
    </row>
    <row r="33" spans="1:4">
      <c r="A33"/>
      <c r="B33" s="11"/>
    </row>
    <row r="34" spans="1:4">
      <c r="A34"/>
      <c r="B34" s="11"/>
    </row>
    <row r="35" spans="1:4">
      <c r="A35"/>
      <c r="B35" s="11"/>
    </row>
    <row r="36" spans="1:4">
      <c r="A36"/>
      <c r="B36" s="11"/>
      <c r="D36" t="s">
        <v>56</v>
      </c>
    </row>
    <row r="37" spans="1:4">
      <c r="A37"/>
      <c r="B37" s="11"/>
    </row>
    <row r="38" spans="1:4">
      <c r="A38"/>
      <c r="B38" s="11"/>
    </row>
    <row r="39" spans="1:4">
      <c r="A39"/>
      <c r="B39" s="11"/>
    </row>
    <row r="40" spans="1:4">
      <c r="A40"/>
      <c r="B40" s="11"/>
    </row>
    <row r="41" spans="1:4">
      <c r="A41"/>
      <c r="B41" s="11"/>
    </row>
    <row r="42" spans="1:4">
      <c r="A42"/>
      <c r="B42" s="11"/>
    </row>
    <row r="43" spans="1:4">
      <c r="A43"/>
      <c r="B43" s="11"/>
    </row>
    <row r="44" spans="1:4">
      <c r="A44"/>
      <c r="B44" s="11"/>
    </row>
    <row r="45" spans="1:4">
      <c r="A45"/>
      <c r="B45" s="11"/>
    </row>
    <row r="46" spans="1:4">
      <c r="A46"/>
      <c r="B46" s="11"/>
    </row>
    <row r="47" spans="1:4">
      <c r="A47"/>
      <c r="B47" s="11"/>
    </row>
    <row r="48" spans="1:4">
      <c r="A48"/>
      <c r="B48" s="11"/>
    </row>
    <row r="49" spans="1:2">
      <c r="A49"/>
      <c r="B49" s="11"/>
    </row>
    <row r="50" spans="1:2">
      <c r="A50"/>
      <c r="B50" s="11"/>
    </row>
    <row r="51" spans="1:2">
      <c r="A51"/>
      <c r="B51" s="11"/>
    </row>
    <row r="52" spans="1:2">
      <c r="A52"/>
      <c r="B52" s="11"/>
    </row>
    <row r="53" spans="1:2">
      <c r="A53"/>
      <c r="B53" s="11"/>
    </row>
    <row r="54" spans="1:2">
      <c r="A54"/>
      <c r="B54" s="11"/>
    </row>
    <row r="55" spans="1:2">
      <c r="A55"/>
      <c r="B55" s="11"/>
    </row>
    <row r="56" spans="1:2">
      <c r="A56"/>
      <c r="B56" s="11"/>
    </row>
    <row r="57" spans="1:2">
      <c r="A57"/>
      <c r="B57" s="11"/>
    </row>
    <row r="58" spans="1:2">
      <c r="A58"/>
      <c r="B58" s="11"/>
    </row>
    <row r="59" spans="1:2">
      <c r="A59"/>
      <c r="B59" s="11"/>
    </row>
    <row r="60" spans="1:2">
      <c r="A60"/>
      <c r="B60" s="11"/>
    </row>
    <row r="61" spans="1:2">
      <c r="A61"/>
      <c r="B61" s="11"/>
    </row>
    <row r="62" spans="1:2">
      <c r="A62"/>
      <c r="B62" s="11"/>
    </row>
    <row r="63" spans="1:2">
      <c r="A63"/>
      <c r="B63" s="11"/>
    </row>
    <row r="64" spans="1:2">
      <c r="A64"/>
      <c r="B64" s="11"/>
    </row>
    <row r="65" spans="1:2">
      <c r="A65"/>
      <c r="B65" s="11"/>
    </row>
    <row r="66" spans="1:2">
      <c r="A66"/>
      <c r="B66" s="11"/>
    </row>
    <row r="67" spans="1:2">
      <c r="A67"/>
      <c r="B67" s="11"/>
    </row>
    <row r="68" spans="1:2">
      <c r="A68"/>
      <c r="B68" s="11"/>
    </row>
    <row r="69" spans="1:2">
      <c r="A69"/>
      <c r="B69" s="11"/>
    </row>
    <row r="70" spans="1:2">
      <c r="A70"/>
      <c r="B70" s="11"/>
    </row>
    <row r="71" spans="1:2">
      <c r="A71"/>
      <c r="B71" s="11"/>
    </row>
    <row r="72" spans="1:2">
      <c r="A72"/>
      <c r="B72" s="11"/>
    </row>
    <row r="73" spans="1:2">
      <c r="A73"/>
      <c r="B73" s="11"/>
    </row>
    <row r="74" spans="1:2">
      <c r="A74"/>
      <c r="B74" s="11"/>
    </row>
    <row r="75" spans="1:2">
      <c r="A75"/>
      <c r="B75" s="11"/>
    </row>
    <row r="76" spans="1:2">
      <c r="A76"/>
      <c r="B76" s="11"/>
    </row>
    <row r="77" spans="1:2">
      <c r="A77"/>
      <c r="B77" s="11"/>
    </row>
    <row r="78" spans="1:2">
      <c r="A78"/>
      <c r="B78" s="11"/>
    </row>
    <row r="79" spans="1:2">
      <c r="A79"/>
      <c r="B79" s="11"/>
    </row>
    <row r="80" spans="1:2">
      <c r="A80"/>
      <c r="B80" s="11"/>
    </row>
    <row r="81" spans="1:2">
      <c r="A81"/>
      <c r="B81" s="11"/>
    </row>
    <row r="82" spans="1:2">
      <c r="A82"/>
      <c r="B82" s="11"/>
    </row>
    <row r="83" spans="1:2">
      <c r="A83"/>
      <c r="B83" s="11"/>
    </row>
    <row r="84" spans="1:2">
      <c r="A84"/>
      <c r="B84" s="11"/>
    </row>
    <row r="85" spans="1:2">
      <c r="A85"/>
      <c r="B85" s="11"/>
    </row>
    <row r="86" spans="1:2">
      <c r="A86"/>
      <c r="B86" s="11"/>
    </row>
    <row r="87" spans="1:2">
      <c r="A87"/>
      <c r="B87" s="11"/>
    </row>
    <row r="88" spans="1:2">
      <c r="A88"/>
      <c r="B88" s="11"/>
    </row>
    <row r="89" spans="1:2">
      <c r="A89"/>
      <c r="B89" s="11"/>
    </row>
    <row r="90" spans="1:2">
      <c r="A90"/>
      <c r="B90" s="11"/>
    </row>
    <row r="91" spans="1:2">
      <c r="A91"/>
      <c r="B91" s="11"/>
    </row>
    <row r="92" spans="1:2">
      <c r="A92"/>
      <c r="B92" s="11"/>
    </row>
    <row r="93" spans="1:2">
      <c r="A93"/>
      <c r="B93" s="11"/>
    </row>
    <row r="94" spans="1:2">
      <c r="A94"/>
      <c r="B94" s="11"/>
    </row>
    <row r="95" spans="1:2">
      <c r="A95"/>
      <c r="B95" s="11"/>
    </row>
    <row r="96" spans="1:2">
      <c r="A96"/>
      <c r="B96" s="11"/>
    </row>
    <row r="97" spans="1:2">
      <c r="A97"/>
      <c r="B97" s="11"/>
    </row>
    <row r="98" spans="1:2">
      <c r="A98"/>
      <c r="B98" s="11"/>
    </row>
    <row r="99" spans="1:2">
      <c r="A99"/>
      <c r="B99" s="11"/>
    </row>
    <row r="100" spans="1:2">
      <c r="A100"/>
      <c r="B100" s="11"/>
    </row>
    <row r="101" spans="1:2">
      <c r="A101"/>
      <c r="B101" s="11"/>
    </row>
    <row r="102" spans="1:2">
      <c r="A102"/>
      <c r="B102" s="11"/>
    </row>
    <row r="103" spans="1:2">
      <c r="A103"/>
      <c r="B103" s="11"/>
    </row>
    <row r="104" spans="1:2">
      <c r="A104"/>
      <c r="B104" s="11"/>
    </row>
    <row r="105" spans="1:2">
      <c r="A105"/>
      <c r="B105" s="11"/>
    </row>
    <row r="106" spans="1:2">
      <c r="A106"/>
      <c r="B106" s="11"/>
    </row>
    <row r="107" spans="1:2">
      <c r="A107"/>
      <c r="B107" s="11"/>
    </row>
    <row r="108" spans="1:2">
      <c r="A108"/>
      <c r="B108" s="11"/>
    </row>
    <row r="109" spans="1:2">
      <c r="A109"/>
      <c r="B109" s="11"/>
    </row>
    <row r="110" spans="1:2">
      <c r="A110"/>
      <c r="B110" s="11"/>
    </row>
    <row r="111" spans="1:2">
      <c r="A111"/>
      <c r="B111" s="11"/>
    </row>
    <row r="112" spans="1:2">
      <c r="A112"/>
      <c r="B112" s="11"/>
    </row>
    <row r="113" spans="1:2">
      <c r="A113"/>
      <c r="B113" s="11"/>
    </row>
    <row r="114" spans="1:2">
      <c r="A114"/>
      <c r="B114" s="11"/>
    </row>
    <row r="115" spans="1:2">
      <c r="A115"/>
      <c r="B115" s="11"/>
    </row>
    <row r="116" spans="1:2">
      <c r="A116"/>
      <c r="B116" s="11"/>
    </row>
    <row r="117" spans="1:2">
      <c r="A117"/>
      <c r="B117" s="11"/>
    </row>
    <row r="118" spans="1:2">
      <c r="A118"/>
      <c r="B118" s="11"/>
    </row>
    <row r="119" spans="1:2">
      <c r="A119"/>
      <c r="B119" s="11"/>
    </row>
    <row r="120" spans="1:2">
      <c r="A120"/>
      <c r="B120" s="11"/>
    </row>
    <row r="121" spans="1:2">
      <c r="A121"/>
      <c r="B121" s="11"/>
    </row>
    <row r="122" spans="1:2">
      <c r="A122"/>
      <c r="B122" s="11"/>
    </row>
    <row r="123" spans="1:2">
      <c r="A123"/>
      <c r="B123" s="11"/>
    </row>
    <row r="124" spans="1:2">
      <c r="A124"/>
      <c r="B124" s="11"/>
    </row>
    <row r="125" spans="1:2">
      <c r="A125"/>
      <c r="B125" s="11"/>
    </row>
    <row r="126" spans="1:2">
      <c r="A126"/>
      <c r="B126" s="11"/>
    </row>
    <row r="127" spans="1:2">
      <c r="A127"/>
      <c r="B127" s="11"/>
    </row>
    <row r="128" spans="1:2">
      <c r="A128"/>
      <c r="B128" s="11"/>
    </row>
    <row r="129" spans="1:2">
      <c r="A129"/>
      <c r="B129" s="11"/>
    </row>
    <row r="130" spans="1:2">
      <c r="A130"/>
      <c r="B130" s="11"/>
    </row>
    <row r="131" spans="1:2">
      <c r="A131"/>
      <c r="B131" s="11"/>
    </row>
    <row r="132" spans="1:2">
      <c r="A132"/>
      <c r="B132" s="11"/>
    </row>
    <row r="133" spans="1:2">
      <c r="A133"/>
      <c r="B133" s="11"/>
    </row>
    <row r="134" spans="1:2">
      <c r="A134"/>
      <c r="B134" s="11"/>
    </row>
    <row r="135" spans="1:2">
      <c r="A135"/>
      <c r="B135" s="11"/>
    </row>
    <row r="136" spans="1:2">
      <c r="A136"/>
      <c r="B136" s="11"/>
    </row>
    <row r="137" spans="1:2">
      <c r="A137"/>
      <c r="B137" s="11"/>
    </row>
    <row r="138" spans="1:2">
      <c r="A138"/>
      <c r="B138" s="11"/>
    </row>
    <row r="139" spans="1:2">
      <c r="A139"/>
      <c r="B139" s="11"/>
    </row>
    <row r="140" spans="1:2">
      <c r="A140"/>
      <c r="B140" s="11"/>
    </row>
    <row r="141" spans="1:2">
      <c r="A141"/>
      <c r="B141" s="11"/>
    </row>
    <row r="142" spans="1:2">
      <c r="A142"/>
      <c r="B142" s="11"/>
    </row>
    <row r="143" spans="1:2">
      <c r="A143"/>
      <c r="B143" s="11"/>
    </row>
    <row r="144" spans="1:2">
      <c r="A144"/>
      <c r="B144" s="11"/>
    </row>
    <row r="145" spans="1:2">
      <c r="A145"/>
      <c r="B145" s="11"/>
    </row>
    <row r="146" spans="1:2">
      <c r="A146"/>
      <c r="B146" s="11"/>
    </row>
    <row r="147" spans="1:2">
      <c r="A147"/>
      <c r="B147" s="11"/>
    </row>
    <row r="148" spans="1:2">
      <c r="A148"/>
      <c r="B148" s="11"/>
    </row>
    <row r="149" spans="1:2">
      <c r="A149"/>
      <c r="B149" s="11"/>
    </row>
    <row r="150" spans="1:2">
      <c r="A150"/>
      <c r="B150" s="11"/>
    </row>
    <row r="151" spans="1:2">
      <c r="A151"/>
      <c r="B151" s="11"/>
    </row>
    <row r="152" spans="1:2">
      <c r="A152"/>
      <c r="B152" s="11"/>
    </row>
    <row r="153" spans="1:2">
      <c r="A153"/>
      <c r="B153" s="11"/>
    </row>
    <row r="154" spans="1:2">
      <c r="A154"/>
      <c r="B154" s="11"/>
    </row>
    <row r="155" spans="1:2">
      <c r="A155"/>
      <c r="B155" s="11"/>
    </row>
    <row r="156" spans="1:2">
      <c r="A156"/>
      <c r="B156" s="11"/>
    </row>
    <row r="157" spans="1:2">
      <c r="A157"/>
      <c r="B157" s="11"/>
    </row>
    <row r="158" spans="1:2">
      <c r="A158"/>
      <c r="B158" s="11"/>
    </row>
    <row r="159" spans="1:2">
      <c r="B159" s="11"/>
    </row>
    <row r="160" spans="1:2">
      <c r="A160"/>
      <c r="B160" s="11"/>
    </row>
    <row r="161" spans="2:2">
      <c r="B161" s="11"/>
    </row>
    <row r="162" spans="2:2">
      <c r="B162" s="11"/>
    </row>
    <row r="163" spans="2:2">
      <c r="B163" s="11"/>
    </row>
    <row r="164" spans="2:2">
      <c r="B164" s="11"/>
    </row>
    <row r="165" spans="2:2">
      <c r="B165" s="11"/>
    </row>
    <row r="166" spans="2:2">
      <c r="B166" s="11"/>
    </row>
    <row r="167" spans="2:2">
      <c r="B167" s="11"/>
    </row>
    <row r="168" spans="2:2">
      <c r="B168" s="11"/>
    </row>
    <row r="169" spans="2:2">
      <c r="B169" s="11"/>
    </row>
    <row r="170" spans="2:2">
      <c r="B170" s="11"/>
    </row>
    <row r="171" spans="2:2">
      <c r="B171" s="11"/>
    </row>
    <row r="172" spans="2:2">
      <c r="B172" s="11"/>
    </row>
    <row r="173" spans="2:2">
      <c r="B173" s="11"/>
    </row>
    <row r="174" spans="2:2">
      <c r="B174" s="11"/>
    </row>
    <row r="175" spans="2:2">
      <c r="B175" s="11"/>
    </row>
    <row r="176" spans="2:2">
      <c r="B176" s="11"/>
    </row>
    <row r="177" spans="2:2">
      <c r="B177" s="11"/>
    </row>
    <row r="178" spans="2:2">
      <c r="B178" s="11"/>
    </row>
    <row r="179" spans="2:2">
      <c r="B179" s="11"/>
    </row>
    <row r="180" spans="2:2">
      <c r="B180" s="11"/>
    </row>
    <row r="181" spans="2:2">
      <c r="B181" s="11"/>
    </row>
    <row r="182" spans="2:2">
      <c r="B182" s="11"/>
    </row>
    <row r="183" spans="2:2">
      <c r="B183" s="11"/>
    </row>
    <row r="184" spans="2:2">
      <c r="B184" s="11"/>
    </row>
    <row r="185" spans="2:2">
      <c r="B185" s="11"/>
    </row>
    <row r="186" spans="2:2">
      <c r="B186" s="11"/>
    </row>
    <row r="187" spans="2:2">
      <c r="B187" s="11"/>
    </row>
    <row r="188" spans="2:2">
      <c r="B188" s="11"/>
    </row>
    <row r="189" spans="2:2">
      <c r="B189" s="11"/>
    </row>
    <row r="190" spans="2:2">
      <c r="B190" s="11"/>
    </row>
  </sheetData>
  <sortState ref="A1:A20">
    <sortCondition ref="A1"/>
  </sortState>
  <phoneticPr fontId="1" type="noConversion"/>
  <hyperlinks>
    <hyperlink ref="B1" r:id="rId1"/>
  </hyperlinks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F104"/>
  <sheetViews>
    <sheetView zoomScaleNormal="100" workbookViewId="0">
      <selection activeCell="A17" sqref="A17"/>
    </sheetView>
  </sheetViews>
  <sheetFormatPr defaultRowHeight="13.5"/>
  <cols>
    <col min="1" max="1" width="49.875" bestFit="1" customWidth="1"/>
    <col min="2" max="2" width="29.625" bestFit="1" customWidth="1"/>
    <col min="3" max="4" width="29.625" hidden="1" customWidth="1"/>
    <col min="5" max="5" width="21.375" customWidth="1"/>
    <col min="6" max="6" width="46.5" customWidth="1"/>
  </cols>
  <sheetData>
    <row r="1" spans="5:6">
      <c r="E1" s="1" t="s">
        <v>0</v>
      </c>
      <c r="F1" s="2" t="s">
        <v>473</v>
      </c>
    </row>
    <row r="16" spans="5:6">
      <c r="F16" t="s">
        <v>265</v>
      </c>
    </row>
    <row r="94" spans="1:1">
      <c r="A94" s="76"/>
    </row>
    <row r="100" spans="1:1">
      <c r="A100" s="76"/>
    </row>
    <row r="101" spans="1:1">
      <c r="A101" s="76"/>
    </row>
    <row r="102" spans="1:1">
      <c r="A102" s="76"/>
    </row>
    <row r="104" spans="1:1">
      <c r="A104" s="76"/>
    </row>
  </sheetData>
  <autoFilter ref="A1:F106"/>
  <sortState ref="A1:A106">
    <sortCondition ref="A1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2"/>
  <sheetViews>
    <sheetView zoomScale="145" zoomScaleNormal="145" zoomScaleSheetLayoutView="145" workbookViewId="0">
      <selection activeCell="B7" sqref="B7"/>
    </sheetView>
  </sheetViews>
  <sheetFormatPr defaultRowHeight="13.5"/>
  <cols>
    <col min="1" max="1" width="39.875" style="6" customWidth="1"/>
    <col min="2" max="2" width="28.75" style="6" customWidth="1"/>
    <col min="3" max="3" width="15" style="6" customWidth="1"/>
    <col min="4" max="4" width="13.625" style="6" customWidth="1"/>
  </cols>
  <sheetData>
    <row r="1" spans="1:6">
      <c r="A1" s="4" t="s">
        <v>13</v>
      </c>
      <c r="B1" s="4" t="s">
        <v>2</v>
      </c>
      <c r="C1" s="5" t="s">
        <v>48</v>
      </c>
      <c r="D1" s="5" t="s">
        <v>47</v>
      </c>
      <c r="E1" s="11" t="s">
        <v>46</v>
      </c>
    </row>
    <row r="2" spans="1:6">
      <c r="A2" s="5" t="s">
        <v>60</v>
      </c>
      <c r="B2" s="5" t="s">
        <v>58</v>
      </c>
      <c r="D2" s="5" t="s">
        <v>11</v>
      </c>
      <c r="E2" s="11" t="s">
        <v>57</v>
      </c>
    </row>
    <row r="3" spans="1:6">
      <c r="A3" s="5" t="s">
        <v>61</v>
      </c>
      <c r="B3" s="5"/>
    </row>
    <row r="4" spans="1:6">
      <c r="A4" s="5" t="s">
        <v>62</v>
      </c>
      <c r="B4" s="11"/>
      <c r="F4">
        <f>5.6*2.1/6</f>
        <v>1.96</v>
      </c>
    </row>
    <row r="5" spans="1:6">
      <c r="A5" s="5" t="s">
        <v>63</v>
      </c>
    </row>
    <row r="6" spans="1:6">
      <c r="A6" s="5" t="s">
        <v>12</v>
      </c>
      <c r="B6"/>
      <c r="C6"/>
    </row>
    <row r="7" spans="1:6">
      <c r="A7" s="5" t="s">
        <v>3</v>
      </c>
      <c r="B7"/>
      <c r="C7"/>
    </row>
    <row r="8" spans="1:6">
      <c r="B8"/>
      <c r="C8"/>
    </row>
    <row r="10" spans="1:6">
      <c r="D10" s="6" t="s">
        <v>59</v>
      </c>
    </row>
    <row r="11" spans="1:6">
      <c r="B11" s="12"/>
    </row>
    <row r="12" spans="1:6">
      <c r="B12" s="12"/>
      <c r="C12" s="44"/>
    </row>
  </sheetData>
  <dataConsolidate/>
  <phoneticPr fontId="1" type="noConversion"/>
  <hyperlinks>
    <hyperlink ref="D2" r:id="rId1" display="非运费结算审批表"/>
    <hyperlink ref="D1" r:id="rId2"/>
    <hyperlink ref="B2" r:id="rId3" display="2018.6月用料单.xlsx"/>
    <hyperlink ref="C1" r:id="rId4" display="接收文件 "/>
    <hyperlink ref="A7" r:id="rId5"/>
    <hyperlink ref="A6" r:id="rId6"/>
    <hyperlink ref="A5" r:id="rId7"/>
    <hyperlink ref="A4" r:id="rId8"/>
    <hyperlink ref="A3" r:id="rId9"/>
    <hyperlink ref="A2" r:id="rId10"/>
    <hyperlink ref="E1" r:id="rId11"/>
    <hyperlink ref="E2" r:id="rId12"/>
  </hyperlinks>
  <pageMargins left="0.7" right="0.7" top="0.75" bottom="0.75" header="0.3" footer="0.3"/>
  <pageSetup paperSize="9" fitToWidth="0" fitToHeight="0" orientation="portrait" r:id="rId1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O10"/>
  <sheetViews>
    <sheetView topLeftCell="B1" zoomScaleNormal="100" workbookViewId="0">
      <selection activeCell="J16" sqref="J16"/>
    </sheetView>
  </sheetViews>
  <sheetFormatPr defaultRowHeight="13.5"/>
  <cols>
    <col min="1" max="1" width="11.625" bestFit="1" customWidth="1"/>
    <col min="2" max="2" width="9.75" customWidth="1"/>
    <col min="3" max="3" width="13.125" customWidth="1"/>
    <col min="4" max="4" width="17.625" customWidth="1"/>
    <col min="7" max="7" width="9" style="13"/>
    <col min="8" max="8" width="9.5" style="13" bestFit="1" customWidth="1"/>
    <col min="9" max="9" width="9.5" bestFit="1" customWidth="1"/>
    <col min="13" max="13" width="9.75" bestFit="1" customWidth="1"/>
    <col min="14" max="14" width="13.125" bestFit="1" customWidth="1"/>
    <col min="15" max="15" width="13.25" bestFit="1" customWidth="1"/>
  </cols>
  <sheetData>
    <row r="1" spans="1:15">
      <c r="A1" t="s">
        <v>42</v>
      </c>
      <c r="B1" t="s">
        <v>43</v>
      </c>
      <c r="D1" t="s">
        <v>45</v>
      </c>
      <c r="E1" t="s">
        <v>44</v>
      </c>
      <c r="I1" t="s">
        <v>49</v>
      </c>
      <c r="J1" t="s">
        <v>50</v>
      </c>
      <c r="K1" t="s">
        <v>51</v>
      </c>
      <c r="M1" s="47" t="s">
        <v>52</v>
      </c>
      <c r="N1" t="s">
        <v>54</v>
      </c>
      <c r="O1" t="s">
        <v>55</v>
      </c>
    </row>
    <row r="2" spans="1:15">
      <c r="A2">
        <v>31</v>
      </c>
      <c r="B2" s="13">
        <f>ROUND(C2,0)</f>
        <v>8100</v>
      </c>
      <c r="C2">
        <f>E2/A2</f>
        <v>8100.000103225806</v>
      </c>
      <c r="D2">
        <v>216465.52</v>
      </c>
      <c r="E2">
        <f>D2*1.16</f>
        <v>251100.00319999998</v>
      </c>
      <c r="F2">
        <f>A2*B2</f>
        <v>251100</v>
      </c>
      <c r="I2" s="60">
        <v>31</v>
      </c>
      <c r="J2">
        <v>8100</v>
      </c>
      <c r="K2">
        <f>I2*J2</f>
        <v>251100</v>
      </c>
      <c r="M2" s="6">
        <v>8100</v>
      </c>
      <c r="N2" s="13">
        <v>31</v>
      </c>
      <c r="O2" s="13">
        <v>251100</v>
      </c>
    </row>
    <row r="3" spans="1:15">
      <c r="A3">
        <v>15</v>
      </c>
      <c r="B3" s="13">
        <f t="shared" ref="B3:B5" si="0">ROUND(C3,0)</f>
        <v>8030</v>
      </c>
      <c r="C3">
        <f t="shared" ref="C3:C5" si="1">E3/A3</f>
        <v>8030.0002399999994</v>
      </c>
      <c r="D3">
        <v>103836.21</v>
      </c>
      <c r="E3">
        <f t="shared" ref="E3:E5" si="2">D3*1.16</f>
        <v>120450.0036</v>
      </c>
      <c r="F3">
        <f t="shared" ref="F3:F5" si="3">A3*B3</f>
        <v>120450</v>
      </c>
      <c r="I3" s="60">
        <v>15</v>
      </c>
      <c r="J3">
        <v>8030</v>
      </c>
      <c r="K3">
        <f t="shared" ref="K3:K10" si="4">I3*J3</f>
        <v>120450</v>
      </c>
      <c r="M3" s="6">
        <v>8030</v>
      </c>
      <c r="N3" s="13">
        <v>15</v>
      </c>
      <c r="O3" s="13">
        <v>120450</v>
      </c>
    </row>
    <row r="4" spans="1:15">
      <c r="A4">
        <v>25</v>
      </c>
      <c r="B4" s="13">
        <f t="shared" si="0"/>
        <v>7910</v>
      </c>
      <c r="C4">
        <f t="shared" si="1"/>
        <v>7910.0000959999998</v>
      </c>
      <c r="D4">
        <v>170474.14</v>
      </c>
      <c r="E4">
        <f t="shared" si="2"/>
        <v>197750.0024</v>
      </c>
      <c r="F4">
        <f t="shared" si="3"/>
        <v>197750</v>
      </c>
      <c r="I4" s="60">
        <v>25</v>
      </c>
      <c r="J4">
        <v>7910</v>
      </c>
      <c r="K4">
        <f t="shared" si="4"/>
        <v>197750</v>
      </c>
      <c r="M4" s="6">
        <v>7910</v>
      </c>
      <c r="N4" s="13">
        <v>25</v>
      </c>
      <c r="O4" s="13">
        <v>197750</v>
      </c>
    </row>
    <row r="5" spans="1:15">
      <c r="A5">
        <v>10</v>
      </c>
      <c r="B5" s="13">
        <f t="shared" si="0"/>
        <v>7770</v>
      </c>
      <c r="C5">
        <f t="shared" si="1"/>
        <v>7770.0001599999987</v>
      </c>
      <c r="D5">
        <v>66982.759999999995</v>
      </c>
      <c r="E5">
        <f t="shared" si="2"/>
        <v>77700.001599999989</v>
      </c>
      <c r="F5">
        <f t="shared" si="3"/>
        <v>77700</v>
      </c>
      <c r="I5" s="60">
        <v>10</v>
      </c>
      <c r="J5">
        <v>7770</v>
      </c>
      <c r="K5">
        <f t="shared" si="4"/>
        <v>77700</v>
      </c>
      <c r="M5" s="6">
        <v>7770</v>
      </c>
      <c r="N5" s="13">
        <v>10</v>
      </c>
      <c r="O5" s="13">
        <v>77700</v>
      </c>
    </row>
    <row r="6" spans="1:15">
      <c r="A6">
        <v>30</v>
      </c>
      <c r="B6" s="13">
        <f t="shared" ref="B6" si="5">ROUND(C6,0)</f>
        <v>7860</v>
      </c>
      <c r="C6">
        <f t="shared" ref="C6" si="6">E6/A6</f>
        <v>7859.9999199999993</v>
      </c>
      <c r="D6">
        <v>203275.86</v>
      </c>
      <c r="E6">
        <f t="shared" ref="E6" si="7">D6*1.16</f>
        <v>235799.99759999997</v>
      </c>
      <c r="F6">
        <f t="shared" ref="F6" si="8">A6*B6</f>
        <v>235800</v>
      </c>
      <c r="I6" s="60">
        <v>30</v>
      </c>
      <c r="J6">
        <v>7860</v>
      </c>
      <c r="K6">
        <f t="shared" si="4"/>
        <v>235800</v>
      </c>
      <c r="M6" s="6">
        <v>7860</v>
      </c>
      <c r="N6" s="13">
        <v>30</v>
      </c>
      <c r="O6" s="13">
        <v>235800</v>
      </c>
    </row>
    <row r="7" spans="1:15">
      <c r="A7">
        <v>32.408000000000001</v>
      </c>
      <c r="B7" s="13">
        <f>ROUND(C7,0)</f>
        <v>8245</v>
      </c>
      <c r="C7">
        <f>E7/A7</f>
        <v>8244.8778943470734</v>
      </c>
      <c r="D7">
        <v>230344.83</v>
      </c>
      <c r="E7">
        <f>D7*1.16</f>
        <v>267200.00279999996</v>
      </c>
      <c r="F7">
        <f>A7*B7</f>
        <v>267203.96000000002</v>
      </c>
      <c r="I7" s="60">
        <v>32.408000000000001</v>
      </c>
      <c r="J7">
        <v>8245</v>
      </c>
      <c r="K7">
        <f t="shared" si="4"/>
        <v>267203.96000000002</v>
      </c>
      <c r="M7" s="6">
        <v>8245</v>
      </c>
      <c r="N7" s="13">
        <v>142</v>
      </c>
      <c r="O7" s="13">
        <v>1170790</v>
      </c>
    </row>
    <row r="8" spans="1:15">
      <c r="A8">
        <v>109.592</v>
      </c>
      <c r="B8" s="13">
        <f>ROUND(C8,0)</f>
        <v>8245</v>
      </c>
      <c r="C8">
        <f>E8/A8</f>
        <v>8245.0360646762529</v>
      </c>
      <c r="D8">
        <v>778956.89</v>
      </c>
      <c r="E8">
        <f>D8*1.16</f>
        <v>903589.99239999999</v>
      </c>
      <c r="F8">
        <f>A8*B8</f>
        <v>903586.04</v>
      </c>
      <c r="I8" s="60">
        <v>109.592</v>
      </c>
      <c r="J8">
        <v>8245</v>
      </c>
      <c r="K8">
        <f t="shared" si="4"/>
        <v>903586.04</v>
      </c>
      <c r="M8" s="6">
        <v>7930</v>
      </c>
      <c r="N8" s="46">
        <v>158</v>
      </c>
      <c r="O8" s="13">
        <v>1252940</v>
      </c>
    </row>
    <row r="9" spans="1:15">
      <c r="A9">
        <v>31.073</v>
      </c>
      <c r="B9" s="13">
        <f>ROUND(C9,0)</f>
        <v>7930</v>
      </c>
      <c r="C9">
        <f>E9/A9</f>
        <v>7930.0355807292499</v>
      </c>
      <c r="D9">
        <v>212422.41</v>
      </c>
      <c r="E9">
        <f t="shared" ref="E9:E10" si="9">D9*1.16</f>
        <v>246409.99559999999</v>
      </c>
      <c r="F9">
        <f t="shared" ref="F9:F10" si="10">A9*B9</f>
        <v>246408.89</v>
      </c>
      <c r="I9" s="60">
        <v>31.073</v>
      </c>
      <c r="J9">
        <v>7930</v>
      </c>
      <c r="K9">
        <f t="shared" si="4"/>
        <v>246408.89</v>
      </c>
      <c r="M9" s="6" t="s">
        <v>53</v>
      </c>
      <c r="N9" s="46">
        <v>411</v>
      </c>
      <c r="O9" s="13">
        <v>3306530</v>
      </c>
    </row>
    <row r="10" spans="1:15">
      <c r="A10">
        <v>126.92700000000001</v>
      </c>
      <c r="B10" s="13">
        <f>ROUND(C10,0)</f>
        <v>7930</v>
      </c>
      <c r="C10">
        <f>E10/A10</f>
        <v>7929.9913840238869</v>
      </c>
      <c r="D10">
        <v>867698.29</v>
      </c>
      <c r="E10">
        <f t="shared" si="9"/>
        <v>1006530.0164</v>
      </c>
      <c r="F10">
        <f t="shared" si="10"/>
        <v>1006531.1100000001</v>
      </c>
      <c r="I10" s="60">
        <v>126.92700000000001</v>
      </c>
      <c r="J10">
        <v>7930</v>
      </c>
      <c r="K10">
        <f t="shared" si="4"/>
        <v>1006531.1100000001</v>
      </c>
    </row>
  </sheetData>
  <sortState ref="A1:C152">
    <sortCondition ref="B1"/>
  </sortState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fitToWidth="0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2"/>
  <sheetViews>
    <sheetView zoomScale="145" zoomScaleNormal="145" zoomScaleSheetLayoutView="145" workbookViewId="0">
      <selection activeCell="F17" sqref="F17"/>
    </sheetView>
  </sheetViews>
  <sheetFormatPr defaultRowHeight="13.5"/>
  <cols>
    <col min="1" max="1" width="13" style="6" bestFit="1" customWidth="1"/>
    <col min="2" max="2" width="15.625" style="6" customWidth="1"/>
    <col min="3" max="4" width="15" style="6" customWidth="1"/>
    <col min="6" max="6" width="13" bestFit="1" customWidth="1"/>
    <col min="7" max="7" width="16.125" bestFit="1" customWidth="1"/>
  </cols>
  <sheetData>
    <row r="1" spans="1:8">
      <c r="A1" s="4" t="s">
        <v>194</v>
      </c>
      <c r="B1" s="4" t="s">
        <v>2</v>
      </c>
      <c r="C1" s="5" t="s">
        <v>48</v>
      </c>
      <c r="D1" s="5" t="s">
        <v>47</v>
      </c>
      <c r="E1" s="11" t="s">
        <v>46</v>
      </c>
      <c r="F1" t="s">
        <v>200</v>
      </c>
      <c r="G1" s="69">
        <v>2.2999999999999998</v>
      </c>
      <c r="H1">
        <f>2*4.9*(SQRT((2*1.15*G1-G1*G1))+(1.15*1.15)/2*ASIN((G1-1.15)/1.15))</f>
        <v>10.179152896712628</v>
      </c>
    </row>
    <row r="2" spans="1:8">
      <c r="A2" s="11" t="s">
        <v>195</v>
      </c>
      <c r="B2" s="5" t="s">
        <v>199</v>
      </c>
      <c r="C2" s="5" t="s">
        <v>201</v>
      </c>
      <c r="D2" s="5" t="s">
        <v>205</v>
      </c>
      <c r="E2" s="11" t="s">
        <v>57</v>
      </c>
      <c r="G2" s="69">
        <v>2.2999999999999998</v>
      </c>
      <c r="H2">
        <f>2*4.9*(SQRT((2*1.15*G2-G2*G2))+(1.15*1.15)/2*ASIN((G2-1.15)/1.15))</f>
        <v>10.179152896712628</v>
      </c>
    </row>
    <row r="3" spans="1:8">
      <c r="A3" s="11" t="s">
        <v>196</v>
      </c>
      <c r="D3" s="5"/>
      <c r="E3" s="11" t="s">
        <v>264</v>
      </c>
    </row>
    <row r="4" spans="1:8">
      <c r="A4" s="5" t="s">
        <v>202</v>
      </c>
      <c r="D4" s="5"/>
    </row>
    <row r="5" spans="1:8">
      <c r="A5" s="5" t="s">
        <v>197</v>
      </c>
    </row>
    <row r="6" spans="1:8">
      <c r="A6" s="5" t="s">
        <v>198</v>
      </c>
      <c r="B6"/>
      <c r="C6"/>
    </row>
    <row r="7" spans="1:8">
      <c r="A7" s="11" t="s">
        <v>469</v>
      </c>
      <c r="B7"/>
      <c r="C7"/>
      <c r="G7" s="70"/>
    </row>
    <row r="8" spans="1:8">
      <c r="B8"/>
      <c r="C8"/>
    </row>
    <row r="11" spans="1:8">
      <c r="B11" s="12"/>
    </row>
    <row r="12" spans="1:8">
      <c r="B12" s="12"/>
      <c r="C12" s="44"/>
    </row>
  </sheetData>
  <dataConsolidate/>
  <phoneticPr fontId="1" type="noConversion"/>
  <hyperlinks>
    <hyperlink ref="D1" r:id="rId1"/>
    <hyperlink ref="A6" r:id="rId2" display="2018.6月用料单.xlsx"/>
    <hyperlink ref="C1" r:id="rId3"/>
    <hyperlink ref="A5" r:id="rId4"/>
    <hyperlink ref="E1" r:id="rId5"/>
    <hyperlink ref="E2" r:id="rId6"/>
    <hyperlink ref="B2" r:id="rId7" display="辅材发料登记"/>
    <hyperlink ref="A3" r:id="rId8"/>
    <hyperlink ref="A2" r:id="rId9"/>
    <hyperlink ref="C2" r:id="rId10"/>
    <hyperlink ref="A4" r:id="rId11"/>
    <hyperlink ref="D2" r:id="rId12"/>
    <hyperlink ref="E3" r:id="rId13"/>
    <hyperlink ref="A7" r:id="rId14" location="账务\帕德玛大桥收支统计表.xls"/>
  </hyperlinks>
  <pageMargins left="0.7" right="0.7" top="0.75" bottom="0.75" header="0.3" footer="0.3"/>
  <pageSetup paperSize="9" fitToWidth="0" fitToHeight="0" orientation="portrait" r:id="rId1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G59"/>
  <sheetViews>
    <sheetView topLeftCell="A40" zoomScaleNormal="100" workbookViewId="0">
      <selection activeCell="I46" sqref="I46"/>
    </sheetView>
  </sheetViews>
  <sheetFormatPr defaultRowHeight="13.5"/>
  <cols>
    <col min="1" max="1" width="21.625" bestFit="1" customWidth="1"/>
    <col min="2" max="2" width="9" style="56"/>
    <col min="3" max="3" width="24.875" style="56" bestFit="1" customWidth="1"/>
    <col min="4" max="5" width="9" style="56"/>
    <col min="6" max="6" width="9" style="57"/>
    <col min="7" max="7" width="9" style="56"/>
  </cols>
  <sheetData>
    <row r="1" spans="1:4">
      <c r="A1" s="61" t="s">
        <v>79</v>
      </c>
      <c r="B1" s="61">
        <v>1</v>
      </c>
      <c r="C1" s="56" t="s">
        <v>136</v>
      </c>
      <c r="D1" s="56">
        <v>2</v>
      </c>
    </row>
    <row r="2" spans="1:4">
      <c r="A2" s="61" t="s">
        <v>79</v>
      </c>
      <c r="B2" s="62">
        <v>2</v>
      </c>
      <c r="C2" s="56" t="s">
        <v>137</v>
      </c>
      <c r="D2" s="56">
        <v>3</v>
      </c>
    </row>
    <row r="3" spans="1:4">
      <c r="A3" s="64" t="s">
        <v>80</v>
      </c>
      <c r="B3" s="65"/>
      <c r="C3" s="56" t="s">
        <v>138</v>
      </c>
      <c r="D3" s="56">
        <v>4</v>
      </c>
    </row>
    <row r="4" spans="1:4">
      <c r="A4" s="61" t="s">
        <v>81</v>
      </c>
      <c r="B4" s="63">
        <v>1</v>
      </c>
      <c r="C4" s="56" t="s">
        <v>139</v>
      </c>
      <c r="D4" s="56">
        <v>5</v>
      </c>
    </row>
    <row r="5" spans="1:4">
      <c r="A5" s="61" t="s">
        <v>82</v>
      </c>
      <c r="B5" s="63">
        <v>2</v>
      </c>
      <c r="C5" s="56" t="s">
        <v>140</v>
      </c>
      <c r="D5" s="56">
        <v>6</v>
      </c>
    </row>
    <row r="6" spans="1:4">
      <c r="A6" s="61" t="s">
        <v>83</v>
      </c>
      <c r="B6" s="63" t="s">
        <v>84</v>
      </c>
      <c r="C6" s="56" t="s">
        <v>141</v>
      </c>
      <c r="D6" s="56">
        <v>7</v>
      </c>
    </row>
    <row r="7" spans="1:4">
      <c r="A7" s="61" t="s">
        <v>85</v>
      </c>
      <c r="B7" s="63" t="s">
        <v>86</v>
      </c>
      <c r="C7" s="56" t="s">
        <v>142</v>
      </c>
      <c r="D7" s="56">
        <v>8</v>
      </c>
    </row>
    <row r="8" spans="1:4">
      <c r="A8" s="61" t="s">
        <v>87</v>
      </c>
      <c r="B8" s="63" t="s">
        <v>86</v>
      </c>
      <c r="C8" s="56" t="s">
        <v>143</v>
      </c>
      <c r="D8" s="56">
        <v>9</v>
      </c>
    </row>
    <row r="9" spans="1:4">
      <c r="A9" s="61" t="s">
        <v>87</v>
      </c>
      <c r="B9" s="63" t="s">
        <v>88</v>
      </c>
      <c r="C9" s="56" t="s">
        <v>144</v>
      </c>
      <c r="D9" s="56">
        <v>10</v>
      </c>
    </row>
    <row r="10" spans="1:4">
      <c r="A10" s="61" t="s">
        <v>89</v>
      </c>
      <c r="B10" s="63"/>
      <c r="C10" s="56" t="s">
        <v>145</v>
      </c>
      <c r="D10" s="56">
        <v>11</v>
      </c>
    </row>
    <row r="11" spans="1:4">
      <c r="A11" s="61" t="s">
        <v>90</v>
      </c>
      <c r="B11" s="63" t="s">
        <v>86</v>
      </c>
      <c r="C11" s="56" t="s">
        <v>146</v>
      </c>
      <c r="D11" s="56">
        <v>12</v>
      </c>
    </row>
    <row r="12" spans="1:4">
      <c r="A12" s="61" t="s">
        <v>91</v>
      </c>
      <c r="B12" s="61">
        <v>1</v>
      </c>
      <c r="C12" s="56" t="s">
        <v>147</v>
      </c>
      <c r="D12" s="56">
        <v>13</v>
      </c>
    </row>
    <row r="13" spans="1:4">
      <c r="A13" s="61" t="s">
        <v>91</v>
      </c>
      <c r="B13" s="63">
        <v>2</v>
      </c>
      <c r="C13" s="56" t="s">
        <v>148</v>
      </c>
      <c r="D13" s="56">
        <v>14</v>
      </c>
    </row>
    <row r="14" spans="1:4">
      <c r="A14" s="61" t="s">
        <v>92</v>
      </c>
      <c r="B14" s="63" t="s">
        <v>93</v>
      </c>
      <c r="C14" s="56" t="s">
        <v>149</v>
      </c>
      <c r="D14" s="56">
        <v>15</v>
      </c>
    </row>
    <row r="15" spans="1:4">
      <c r="A15" s="61" t="s">
        <v>92</v>
      </c>
      <c r="B15" s="63" t="s">
        <v>94</v>
      </c>
      <c r="C15" s="56" t="s">
        <v>150</v>
      </c>
      <c r="D15" s="56">
        <v>16</v>
      </c>
    </row>
    <row r="16" spans="1:4">
      <c r="A16" s="61" t="s">
        <v>92</v>
      </c>
      <c r="B16" s="63" t="s">
        <v>95</v>
      </c>
      <c r="C16" s="56" t="s">
        <v>151</v>
      </c>
      <c r="D16" s="56">
        <v>17</v>
      </c>
    </row>
    <row r="17" spans="1:4">
      <c r="A17" s="61" t="s">
        <v>92</v>
      </c>
      <c r="B17" s="63" t="s">
        <v>96</v>
      </c>
      <c r="C17" s="56" t="s">
        <v>152</v>
      </c>
      <c r="D17" s="56">
        <v>18</v>
      </c>
    </row>
    <row r="18" spans="1:4">
      <c r="A18" s="61" t="s">
        <v>92</v>
      </c>
      <c r="B18" s="63" t="s">
        <v>97</v>
      </c>
      <c r="C18" s="56" t="s">
        <v>153</v>
      </c>
      <c r="D18" s="56">
        <v>19</v>
      </c>
    </row>
    <row r="19" spans="1:4">
      <c r="A19" s="61" t="s">
        <v>92</v>
      </c>
      <c r="B19" s="63" t="s">
        <v>98</v>
      </c>
      <c r="C19" s="56" t="s">
        <v>154</v>
      </c>
      <c r="D19" s="56">
        <v>20</v>
      </c>
    </row>
    <row r="20" spans="1:4">
      <c r="A20" s="61" t="s">
        <v>92</v>
      </c>
      <c r="B20" s="61" t="s">
        <v>99</v>
      </c>
      <c r="C20" s="56" t="s">
        <v>155</v>
      </c>
      <c r="D20" s="56">
        <v>21</v>
      </c>
    </row>
    <row r="21" spans="1:4">
      <c r="A21" s="61" t="s">
        <v>100</v>
      </c>
      <c r="B21" s="61" t="s">
        <v>101</v>
      </c>
      <c r="C21" s="56" t="s">
        <v>156</v>
      </c>
      <c r="D21" s="56">
        <v>22</v>
      </c>
    </row>
    <row r="22" spans="1:4">
      <c r="A22" s="66" t="s">
        <v>102</v>
      </c>
      <c r="B22" s="67"/>
      <c r="C22" s="56" t="s">
        <v>157</v>
      </c>
      <c r="D22" s="56">
        <v>23</v>
      </c>
    </row>
    <row r="23" spans="1:4">
      <c r="A23" s="66" t="s">
        <v>103</v>
      </c>
      <c r="B23" s="67"/>
      <c r="C23" s="56" t="s">
        <v>158</v>
      </c>
      <c r="D23" s="56">
        <v>24</v>
      </c>
    </row>
    <row r="24" spans="1:4" ht="13.5" customHeight="1">
      <c r="A24" s="64" t="s">
        <v>104</v>
      </c>
      <c r="B24" s="65"/>
      <c r="C24" s="56" t="s">
        <v>159</v>
      </c>
      <c r="D24" s="56">
        <v>25</v>
      </c>
    </row>
    <row r="25" spans="1:4" ht="13.5" customHeight="1">
      <c r="A25" s="64" t="s">
        <v>105</v>
      </c>
      <c r="B25" s="65"/>
      <c r="C25" s="56" t="s">
        <v>160</v>
      </c>
      <c r="D25" s="56">
        <v>26</v>
      </c>
    </row>
    <row r="26" spans="1:4" ht="13.5" customHeight="1">
      <c r="A26" s="64" t="s">
        <v>106</v>
      </c>
      <c r="B26" s="65"/>
      <c r="C26" s="56" t="s">
        <v>161</v>
      </c>
      <c r="D26" s="56">
        <v>27</v>
      </c>
    </row>
    <row r="27" spans="1:4" ht="13.5" customHeight="1">
      <c r="A27" s="64" t="s">
        <v>107</v>
      </c>
      <c r="B27" s="65"/>
      <c r="C27" s="56" t="s">
        <v>162</v>
      </c>
      <c r="D27" s="56">
        <v>28</v>
      </c>
    </row>
    <row r="28" spans="1:4">
      <c r="A28" s="64" t="s">
        <v>108</v>
      </c>
      <c r="B28" s="65"/>
      <c r="C28" s="56" t="s">
        <v>163</v>
      </c>
      <c r="D28" s="56">
        <v>29</v>
      </c>
    </row>
    <row r="29" spans="1:4" ht="13.5" customHeight="1">
      <c r="A29" s="64" t="s">
        <v>109</v>
      </c>
      <c r="B29" s="65"/>
      <c r="C29" s="56" t="s">
        <v>164</v>
      </c>
      <c r="D29" s="56">
        <v>30</v>
      </c>
    </row>
    <row r="30" spans="1:4" ht="13.5" customHeight="1">
      <c r="A30" s="64" t="s">
        <v>110</v>
      </c>
      <c r="B30" s="65"/>
      <c r="C30" s="56" t="s">
        <v>165</v>
      </c>
      <c r="D30" s="56">
        <v>31</v>
      </c>
    </row>
    <row r="31" spans="1:4" ht="13.5" customHeight="1">
      <c r="A31" s="64" t="s">
        <v>111</v>
      </c>
      <c r="B31" s="65"/>
      <c r="C31" s="56" t="s">
        <v>166</v>
      </c>
      <c r="D31" s="56">
        <v>32</v>
      </c>
    </row>
    <row r="32" spans="1:4">
      <c r="A32" s="64" t="s">
        <v>112</v>
      </c>
      <c r="B32" s="65"/>
      <c r="C32" s="56" t="s">
        <v>167</v>
      </c>
      <c r="D32" s="56">
        <v>33</v>
      </c>
    </row>
    <row r="33" spans="1:4">
      <c r="A33" s="64" t="s">
        <v>113</v>
      </c>
      <c r="B33" s="65"/>
      <c r="C33" s="56" t="s">
        <v>168</v>
      </c>
      <c r="D33" s="56">
        <v>34</v>
      </c>
    </row>
    <row r="34" spans="1:4">
      <c r="A34" s="64" t="s">
        <v>114</v>
      </c>
      <c r="B34" s="65"/>
      <c r="C34" s="56" t="s">
        <v>169</v>
      </c>
      <c r="D34" s="56">
        <v>35</v>
      </c>
    </row>
    <row r="35" spans="1:4" ht="13.5" customHeight="1">
      <c r="A35" s="64" t="s">
        <v>115</v>
      </c>
      <c r="B35" s="65"/>
      <c r="C35" s="56" t="s">
        <v>170</v>
      </c>
      <c r="D35" s="56">
        <v>36</v>
      </c>
    </row>
    <row r="36" spans="1:4" ht="13.5" customHeight="1">
      <c r="A36" s="64" t="s">
        <v>116</v>
      </c>
      <c r="B36" s="65"/>
      <c r="C36" s="56" t="s">
        <v>171</v>
      </c>
      <c r="D36" s="56">
        <v>37</v>
      </c>
    </row>
    <row r="37" spans="1:4">
      <c r="A37" s="64" t="s">
        <v>117</v>
      </c>
      <c r="B37" s="65"/>
      <c r="C37" s="56" t="s">
        <v>172</v>
      </c>
      <c r="D37" s="56">
        <v>38</v>
      </c>
    </row>
    <row r="38" spans="1:4" ht="13.5" customHeight="1">
      <c r="A38" s="64" t="s">
        <v>203</v>
      </c>
      <c r="B38" s="65"/>
      <c r="C38" s="56" t="s">
        <v>204</v>
      </c>
      <c r="D38" s="56">
        <v>39</v>
      </c>
    </row>
    <row r="39" spans="1:4" ht="13.5" customHeight="1">
      <c r="A39" s="64" t="s">
        <v>118</v>
      </c>
      <c r="B39" s="65"/>
      <c r="C39" s="56" t="s">
        <v>173</v>
      </c>
      <c r="D39" s="56">
        <v>40</v>
      </c>
    </row>
    <row r="40" spans="1:4">
      <c r="A40" s="64" t="s">
        <v>119</v>
      </c>
      <c r="B40" s="65"/>
      <c r="C40" s="56" t="s">
        <v>174</v>
      </c>
      <c r="D40" s="56">
        <v>41</v>
      </c>
    </row>
    <row r="41" spans="1:4">
      <c r="A41" s="64" t="s">
        <v>120</v>
      </c>
      <c r="B41" s="65"/>
      <c r="C41" s="56" t="s">
        <v>175</v>
      </c>
      <c r="D41" s="56">
        <v>42</v>
      </c>
    </row>
    <row r="42" spans="1:4">
      <c r="A42" s="64" t="s">
        <v>121</v>
      </c>
      <c r="B42" s="65"/>
      <c r="C42" s="56" t="s">
        <v>176</v>
      </c>
      <c r="D42" s="56">
        <v>43</v>
      </c>
    </row>
    <row r="43" spans="1:4" ht="24">
      <c r="A43" s="61" t="s">
        <v>122</v>
      </c>
      <c r="B43" s="61" t="s">
        <v>123</v>
      </c>
      <c r="C43" s="56" t="s">
        <v>177</v>
      </c>
      <c r="D43" s="56">
        <v>44</v>
      </c>
    </row>
    <row r="44" spans="1:4" ht="24">
      <c r="A44" s="61" t="s">
        <v>122</v>
      </c>
      <c r="B44" s="61" t="s">
        <v>124</v>
      </c>
      <c r="C44" s="56" t="s">
        <v>178</v>
      </c>
      <c r="D44" s="56">
        <v>45</v>
      </c>
    </row>
    <row r="45" spans="1:4" ht="13.5" customHeight="1">
      <c r="A45" s="64" t="s">
        <v>125</v>
      </c>
      <c r="B45" s="65"/>
      <c r="C45" s="56" t="s">
        <v>179</v>
      </c>
      <c r="D45" s="56">
        <v>46</v>
      </c>
    </row>
    <row r="46" spans="1:4" ht="13.5" customHeight="1">
      <c r="A46" s="64" t="s">
        <v>126</v>
      </c>
      <c r="B46" s="65"/>
      <c r="C46" s="56" t="s">
        <v>180</v>
      </c>
      <c r="D46" s="56">
        <v>47</v>
      </c>
    </row>
    <row r="47" spans="1:4" ht="13.5" customHeight="1">
      <c r="A47" s="64" t="s">
        <v>127</v>
      </c>
      <c r="B47" s="65"/>
      <c r="C47" s="56" t="s">
        <v>181</v>
      </c>
      <c r="D47" s="56">
        <v>48</v>
      </c>
    </row>
    <row r="48" spans="1:4">
      <c r="A48" s="61" t="s">
        <v>128</v>
      </c>
      <c r="B48" s="61">
        <v>3</v>
      </c>
      <c r="C48" s="56" t="s">
        <v>182</v>
      </c>
      <c r="D48" s="56">
        <v>49</v>
      </c>
    </row>
    <row r="49" spans="1:4">
      <c r="A49" s="61" t="s">
        <v>128</v>
      </c>
      <c r="B49" s="61">
        <v>2</v>
      </c>
      <c r="C49" s="56" t="s">
        <v>183</v>
      </c>
      <c r="D49" s="56">
        <v>50</v>
      </c>
    </row>
    <row r="50" spans="1:4">
      <c r="A50" s="61" t="s">
        <v>129</v>
      </c>
      <c r="B50" s="61">
        <v>1</v>
      </c>
      <c r="C50" s="56" t="s">
        <v>184</v>
      </c>
      <c r="D50" s="56">
        <v>51</v>
      </c>
    </row>
    <row r="51" spans="1:4">
      <c r="A51" s="61" t="s">
        <v>129</v>
      </c>
      <c r="B51" s="61">
        <v>2</v>
      </c>
      <c r="C51" s="56" t="s">
        <v>185</v>
      </c>
      <c r="D51" s="56">
        <v>52</v>
      </c>
    </row>
    <row r="52" spans="1:4">
      <c r="A52" s="61" t="s">
        <v>129</v>
      </c>
      <c r="B52" s="61">
        <v>3</v>
      </c>
      <c r="C52" s="56" t="s">
        <v>186</v>
      </c>
      <c r="D52" s="56">
        <v>53</v>
      </c>
    </row>
    <row r="53" spans="1:4">
      <c r="A53" s="61" t="s">
        <v>130</v>
      </c>
      <c r="B53" s="61" t="s">
        <v>101</v>
      </c>
      <c r="C53" s="56" t="s">
        <v>187</v>
      </c>
      <c r="D53" s="56">
        <v>54</v>
      </c>
    </row>
    <row r="54" spans="1:4">
      <c r="A54" s="61" t="s">
        <v>131</v>
      </c>
      <c r="B54" s="61">
        <v>1</v>
      </c>
      <c r="C54" s="56" t="s">
        <v>188</v>
      </c>
      <c r="D54" s="56">
        <v>55</v>
      </c>
    </row>
    <row r="55" spans="1:4">
      <c r="A55" s="61" t="s">
        <v>131</v>
      </c>
      <c r="B55" s="61">
        <v>2</v>
      </c>
      <c r="C55" s="56" t="s">
        <v>189</v>
      </c>
      <c r="D55" s="56">
        <v>56</v>
      </c>
    </row>
    <row r="56" spans="1:4">
      <c r="A56" s="64" t="s">
        <v>132</v>
      </c>
      <c r="B56" s="65"/>
      <c r="C56" s="56" t="s">
        <v>190</v>
      </c>
      <c r="D56" s="56">
        <v>57</v>
      </c>
    </row>
    <row r="57" spans="1:4" ht="13.5" customHeight="1">
      <c r="A57" s="64" t="s">
        <v>133</v>
      </c>
      <c r="B57" s="65"/>
      <c r="C57" s="56" t="s">
        <v>191</v>
      </c>
      <c r="D57" s="56">
        <v>58</v>
      </c>
    </row>
    <row r="58" spans="1:4">
      <c r="A58" s="68" t="s">
        <v>134</v>
      </c>
      <c r="B58" s="68"/>
      <c r="C58" s="56" t="s">
        <v>192</v>
      </c>
      <c r="D58" s="56">
        <v>59</v>
      </c>
    </row>
    <row r="59" spans="1:4">
      <c r="A59" s="68" t="s">
        <v>135</v>
      </c>
      <c r="B59" s="68"/>
      <c r="C59" s="56" t="s">
        <v>193</v>
      </c>
      <c r="D59" s="56">
        <v>60</v>
      </c>
    </row>
  </sheetData>
  <autoFilter ref="A1:G59"/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8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7"/>
  <sheetViews>
    <sheetView tabSelected="1" showWhiteSpace="0" zoomScaleNormal="100" workbookViewId="0">
      <selection activeCell="H18" sqref="G17:H18"/>
    </sheetView>
  </sheetViews>
  <sheetFormatPr defaultRowHeight="13.5"/>
  <cols>
    <col min="2" max="2" width="9" style="79"/>
    <col min="3" max="3" width="9" style="80"/>
    <col min="4" max="4" width="17.375" customWidth="1"/>
    <col min="5" max="5" width="9" style="80" customWidth="1"/>
    <col min="6" max="7" width="9" customWidth="1"/>
    <col min="8" max="8" width="7.125" bestFit="1" customWidth="1"/>
    <col min="9" max="9" width="12.625" customWidth="1"/>
    <col min="10" max="10" width="6.5" bestFit="1" customWidth="1"/>
  </cols>
  <sheetData>
    <row r="1" spans="1:13">
      <c r="A1" t="s">
        <v>276</v>
      </c>
      <c r="B1" s="79" t="s">
        <v>280</v>
      </c>
      <c r="C1" s="80" t="s">
        <v>281</v>
      </c>
      <c r="D1" t="s">
        <v>282</v>
      </c>
      <c r="E1" s="80" t="s">
        <v>277</v>
      </c>
      <c r="M1">
        <v>471</v>
      </c>
    </row>
    <row r="2" spans="1:13">
      <c r="A2">
        <v>2.4660000000000001E-2</v>
      </c>
      <c r="B2" s="79">
        <v>12</v>
      </c>
      <c r="C2" s="80">
        <v>1300</v>
      </c>
      <c r="D2">
        <f>C2-B2</f>
        <v>1288</v>
      </c>
      <c r="E2" s="80">
        <v>6.64</v>
      </c>
      <c r="F2">
        <f>A2*B2*D2*E2</f>
        <v>2530.8025344000002</v>
      </c>
      <c r="G2" t="s">
        <v>468</v>
      </c>
      <c r="H2" t="s">
        <v>283</v>
      </c>
      <c r="I2" t="s">
        <v>284</v>
      </c>
      <c r="J2">
        <v>12958</v>
      </c>
      <c r="K2">
        <f>F2*200</f>
        <v>506160.50688000006</v>
      </c>
      <c r="M2">
        <v>1200</v>
      </c>
    </row>
    <row r="3" spans="1:13">
      <c r="A3">
        <v>2.4660000000000001E-2</v>
      </c>
      <c r="B3" s="79">
        <v>12</v>
      </c>
      <c r="C3" s="80">
        <v>1300</v>
      </c>
      <c r="D3">
        <f>C3-B3</f>
        <v>1288</v>
      </c>
      <c r="E3" s="80">
        <v>5.8</v>
      </c>
      <c r="F3">
        <f>A3*B3*D3*E3</f>
        <v>2210.6407680000002</v>
      </c>
      <c r="G3">
        <f>INT(F3)</f>
        <v>2210</v>
      </c>
    </row>
    <row r="4" spans="1:13">
      <c r="A4">
        <v>2.4660000000000001E-2</v>
      </c>
      <c r="B4" s="79">
        <v>12</v>
      </c>
      <c r="C4" s="80">
        <v>1300</v>
      </c>
      <c r="D4">
        <f>C4-B4</f>
        <v>1288</v>
      </c>
      <c r="E4" s="80">
        <v>5.75</v>
      </c>
      <c r="F4">
        <f>A4*B4*D4*E4</f>
        <v>2191.5835200000001</v>
      </c>
      <c r="G4">
        <f>INT(F4)</f>
        <v>2191</v>
      </c>
    </row>
    <row r="5" spans="1:13">
      <c r="A5">
        <v>2.4660000000000001E-2</v>
      </c>
      <c r="B5" s="79">
        <v>2</v>
      </c>
      <c r="C5" s="80">
        <v>32</v>
      </c>
      <c r="D5">
        <f>C5-B5</f>
        <v>30</v>
      </c>
      <c r="E5" s="80">
        <v>1</v>
      </c>
      <c r="F5">
        <f>A5*B5*D5*E5</f>
        <v>1.4796</v>
      </c>
      <c r="G5">
        <f>INT(F5)</f>
        <v>1</v>
      </c>
    </row>
    <row r="6" spans="1:13">
      <c r="A6">
        <v>2.4660000000000001E-2</v>
      </c>
      <c r="B6" s="79">
        <v>3.5</v>
      </c>
      <c r="C6" s="80">
        <v>62</v>
      </c>
      <c r="D6">
        <f>C6-B6</f>
        <v>58.5</v>
      </c>
      <c r="E6" s="80">
        <v>1500</v>
      </c>
      <c r="F6">
        <f>A6*B6*D6*E6</f>
        <v>7573.7024999999994</v>
      </c>
      <c r="G6">
        <f>INT(F6)</f>
        <v>7573</v>
      </c>
    </row>
    <row r="7" spans="1:13">
      <c r="F7">
        <f>F6/E6</f>
        <v>5.0491349999999997</v>
      </c>
      <c r="G7">
        <v>165</v>
      </c>
      <c r="H7">
        <f>G7/F7</f>
        <v>32.678864795653119</v>
      </c>
    </row>
  </sheetData>
  <phoneticPr fontId="8" type="noConversion"/>
  <pageMargins left="0.70866141732283472" right="0.70866141732283472" top="0.74803149606299213" bottom="0.74803149606299213" header="0.31496062992125984" footer="0.31496062992125984"/>
  <pageSetup paperSize="13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9"/>
  <sheetViews>
    <sheetView zoomScale="145" zoomScaleNormal="145" workbookViewId="0">
      <selection activeCell="D12" sqref="D12"/>
    </sheetView>
  </sheetViews>
  <sheetFormatPr defaultRowHeight="13.5"/>
  <cols>
    <col min="2" max="2" width="12.625" bestFit="1" customWidth="1"/>
    <col min="3" max="3" width="12.625" customWidth="1"/>
    <col min="8" max="8" width="18.75" bestFit="1" customWidth="1"/>
    <col min="9" max="9" width="13.125" bestFit="1" customWidth="1"/>
  </cols>
  <sheetData>
    <row r="1" spans="1:9">
      <c r="A1" s="81" t="s">
        <v>292</v>
      </c>
      <c r="B1" s="81" t="s">
        <v>293</v>
      </c>
      <c r="C1" s="81" t="s">
        <v>294</v>
      </c>
      <c r="D1" s="81" t="s">
        <v>295</v>
      </c>
      <c r="E1" s="81" t="s">
        <v>296</v>
      </c>
      <c r="F1" s="81" t="s">
        <v>297</v>
      </c>
      <c r="H1" s="47" t="s">
        <v>52</v>
      </c>
      <c r="I1" t="s">
        <v>307</v>
      </c>
    </row>
    <row r="2" spans="1:9">
      <c r="A2" s="81" t="s">
        <v>283</v>
      </c>
      <c r="B2" s="81" t="s">
        <v>284</v>
      </c>
      <c r="C2" s="81" t="s">
        <v>298</v>
      </c>
      <c r="D2" s="81">
        <v>12959</v>
      </c>
      <c r="E2" s="81" t="s">
        <v>299</v>
      </c>
      <c r="F2" s="81">
        <v>1</v>
      </c>
      <c r="H2" s="6" t="s">
        <v>283</v>
      </c>
      <c r="I2" s="46">
        <v>88150</v>
      </c>
    </row>
    <row r="3" spans="1:9">
      <c r="A3" s="81" t="s">
        <v>283</v>
      </c>
      <c r="B3" s="81" t="s">
        <v>287</v>
      </c>
      <c r="C3" s="81" t="s">
        <v>298</v>
      </c>
      <c r="D3" s="81">
        <v>12291</v>
      </c>
      <c r="E3" s="81" t="s">
        <v>300</v>
      </c>
      <c r="F3" s="81">
        <v>1</v>
      </c>
      <c r="H3" s="83" t="s">
        <v>284</v>
      </c>
      <c r="I3" s="46">
        <v>22869</v>
      </c>
    </row>
    <row r="4" spans="1:9">
      <c r="A4" s="81" t="s">
        <v>283</v>
      </c>
      <c r="B4" s="81" t="s">
        <v>289</v>
      </c>
      <c r="C4" s="81" t="s">
        <v>298</v>
      </c>
      <c r="D4" s="81">
        <v>32465</v>
      </c>
      <c r="E4" s="81" t="s">
        <v>301</v>
      </c>
      <c r="F4" s="81">
        <v>3</v>
      </c>
      <c r="H4" s="83" t="s">
        <v>290</v>
      </c>
      <c r="I4" s="46">
        <v>9860</v>
      </c>
    </row>
    <row r="5" spans="1:9">
      <c r="A5" s="81" t="s">
        <v>283</v>
      </c>
      <c r="B5" s="81" t="s">
        <v>289</v>
      </c>
      <c r="C5" s="81" t="s">
        <v>298</v>
      </c>
      <c r="D5" s="81">
        <v>10665</v>
      </c>
      <c r="E5" s="81" t="s">
        <v>302</v>
      </c>
      <c r="F5" s="81">
        <v>1</v>
      </c>
      <c r="H5" s="83" t="s">
        <v>288</v>
      </c>
      <c r="I5" s="46">
        <v>43130</v>
      </c>
    </row>
    <row r="6" spans="1:9">
      <c r="A6" s="81" t="s">
        <v>283</v>
      </c>
      <c r="B6" s="81" t="s">
        <v>291</v>
      </c>
      <c r="C6" s="81" t="s">
        <v>298</v>
      </c>
      <c r="D6" s="81">
        <v>9860</v>
      </c>
      <c r="E6" s="81" t="s">
        <v>303</v>
      </c>
      <c r="F6" s="81">
        <v>1</v>
      </c>
      <c r="H6" s="83" t="s">
        <v>286</v>
      </c>
      <c r="I6" s="46">
        <v>12291</v>
      </c>
    </row>
    <row r="7" spans="1:9">
      <c r="A7" s="81" t="s">
        <v>283</v>
      </c>
      <c r="B7" s="81" t="s">
        <v>285</v>
      </c>
      <c r="C7" s="81" t="s">
        <v>298</v>
      </c>
      <c r="D7" s="81">
        <v>4574</v>
      </c>
      <c r="E7" s="81" t="s">
        <v>304</v>
      </c>
      <c r="F7" s="81">
        <v>2</v>
      </c>
      <c r="H7" s="6" t="s">
        <v>53</v>
      </c>
      <c r="I7" s="46">
        <v>88150</v>
      </c>
    </row>
    <row r="8" spans="1:9">
      <c r="A8" s="81" t="s">
        <v>283</v>
      </c>
      <c r="B8" s="81" t="s">
        <v>284</v>
      </c>
      <c r="C8" s="81" t="s">
        <v>298</v>
      </c>
      <c r="D8" s="81">
        <v>3430</v>
      </c>
      <c r="E8" s="81" t="s">
        <v>305</v>
      </c>
      <c r="F8" s="81">
        <v>2</v>
      </c>
    </row>
    <row r="9" spans="1:9">
      <c r="A9" s="81" t="s">
        <v>283</v>
      </c>
      <c r="B9" s="81" t="s">
        <v>284</v>
      </c>
      <c r="C9" s="81" t="s">
        <v>298</v>
      </c>
      <c r="D9" s="81">
        <v>1906</v>
      </c>
      <c r="E9" s="81" t="s">
        <v>306</v>
      </c>
      <c r="F9" s="81">
        <v>2</v>
      </c>
    </row>
  </sheetData>
  <autoFilter ref="A1:D9"/>
  <sortState ref="A1:V16">
    <sortCondition ref="H1:H16"/>
  </sortState>
  <phoneticPr fontId="8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13" orientation="landscape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27"/>
  <sheetViews>
    <sheetView zoomScale="130" zoomScaleNormal="130" workbookViewId="0">
      <selection sqref="A1:H1048576"/>
    </sheetView>
  </sheetViews>
  <sheetFormatPr defaultRowHeight="13.5"/>
  <cols>
    <col min="2" max="2" width="12.625" bestFit="1" customWidth="1"/>
    <col min="3" max="3" width="12.625" customWidth="1"/>
    <col min="7" max="7" width="9.75" bestFit="1" customWidth="1"/>
    <col min="8" max="8" width="13.125" bestFit="1" customWidth="1"/>
  </cols>
  <sheetData>
    <row r="1" spans="1:8">
      <c r="A1" s="81" t="s">
        <v>292</v>
      </c>
      <c r="B1" s="81" t="s">
        <v>293</v>
      </c>
      <c r="C1" s="81" t="s">
        <v>294</v>
      </c>
      <c r="D1" s="81" t="s">
        <v>295</v>
      </c>
      <c r="G1" s="47" t="s">
        <v>52</v>
      </c>
      <c r="H1" t="s">
        <v>307</v>
      </c>
    </row>
    <row r="2" spans="1:8">
      <c r="A2" s="81" t="s">
        <v>308</v>
      </c>
      <c r="B2" s="81" t="s">
        <v>313</v>
      </c>
      <c r="C2" s="81" t="s">
        <v>310</v>
      </c>
      <c r="D2" s="81">
        <v>1896</v>
      </c>
      <c r="G2" s="6" t="s">
        <v>314</v>
      </c>
      <c r="H2" s="46">
        <v>55351</v>
      </c>
    </row>
    <row r="3" spans="1:8">
      <c r="A3" s="81" t="s">
        <v>308</v>
      </c>
      <c r="B3" s="81" t="s">
        <v>315</v>
      </c>
      <c r="C3" s="81" t="s">
        <v>310</v>
      </c>
      <c r="D3" s="81">
        <v>1066</v>
      </c>
      <c r="G3" s="6" t="s">
        <v>312</v>
      </c>
      <c r="H3" s="46">
        <v>31279</v>
      </c>
    </row>
    <row r="4" spans="1:8">
      <c r="A4" s="81" t="s">
        <v>308</v>
      </c>
      <c r="B4" s="81" t="s">
        <v>313</v>
      </c>
      <c r="C4" s="81" t="s">
        <v>310</v>
      </c>
      <c r="D4" s="81">
        <v>12514</v>
      </c>
      <c r="G4" s="6" t="s">
        <v>309</v>
      </c>
      <c r="H4" s="46">
        <v>56853</v>
      </c>
    </row>
    <row r="5" spans="1:8">
      <c r="A5" s="81" t="s">
        <v>308</v>
      </c>
      <c r="B5" s="81" t="s">
        <v>311</v>
      </c>
      <c r="C5" s="81" t="s">
        <v>322</v>
      </c>
      <c r="D5" s="81">
        <v>11560</v>
      </c>
      <c r="G5" s="6" t="s">
        <v>316</v>
      </c>
      <c r="H5" s="46">
        <v>22202</v>
      </c>
    </row>
    <row r="6" spans="1:8">
      <c r="A6" s="81" t="s">
        <v>308</v>
      </c>
      <c r="B6" s="81" t="s">
        <v>311</v>
      </c>
      <c r="C6" s="81" t="s">
        <v>322</v>
      </c>
      <c r="D6" s="81">
        <v>15561</v>
      </c>
      <c r="G6" s="6" t="s">
        <v>318</v>
      </c>
      <c r="H6" s="46">
        <v>10540</v>
      </c>
    </row>
    <row r="7" spans="1:8">
      <c r="A7" s="81" t="s">
        <v>308</v>
      </c>
      <c r="B7" s="81" t="s">
        <v>311</v>
      </c>
      <c r="C7" s="81" t="s">
        <v>322</v>
      </c>
      <c r="D7" s="81">
        <v>593</v>
      </c>
      <c r="G7" s="6" t="s">
        <v>320</v>
      </c>
      <c r="H7" s="46">
        <v>2498</v>
      </c>
    </row>
    <row r="8" spans="1:8">
      <c r="A8" s="81" t="s">
        <v>308</v>
      </c>
      <c r="B8" s="81" t="s">
        <v>311</v>
      </c>
      <c r="C8" s="81" t="s">
        <v>322</v>
      </c>
      <c r="D8" s="81">
        <v>380</v>
      </c>
      <c r="G8" s="6" t="s">
        <v>53</v>
      </c>
      <c r="H8" s="46">
        <v>178723</v>
      </c>
    </row>
    <row r="9" spans="1:8">
      <c r="A9" s="81" t="s">
        <v>308</v>
      </c>
      <c r="B9" s="81" t="s">
        <v>311</v>
      </c>
      <c r="C9" s="81" t="s">
        <v>322</v>
      </c>
      <c r="D9" s="81">
        <v>30</v>
      </c>
    </row>
    <row r="10" spans="1:8">
      <c r="A10" s="81" t="s">
        <v>308</v>
      </c>
      <c r="B10" s="81" t="s">
        <v>317</v>
      </c>
      <c r="C10" s="81" t="s">
        <v>322</v>
      </c>
      <c r="D10" s="81">
        <v>1441</v>
      </c>
    </row>
    <row r="11" spans="1:8">
      <c r="A11" s="81" t="s">
        <v>308</v>
      </c>
      <c r="B11" s="81" t="s">
        <v>317</v>
      </c>
      <c r="C11" s="81" t="s">
        <v>322</v>
      </c>
      <c r="D11" s="81">
        <v>443</v>
      </c>
    </row>
    <row r="12" spans="1:8">
      <c r="A12" s="81" t="s">
        <v>308</v>
      </c>
      <c r="B12" s="81" t="s">
        <v>319</v>
      </c>
      <c r="C12" s="81" t="s">
        <v>322</v>
      </c>
      <c r="D12" s="81">
        <v>2040</v>
      </c>
    </row>
    <row r="13" spans="1:8">
      <c r="A13" s="81" t="s">
        <v>308</v>
      </c>
      <c r="B13" s="81" t="s">
        <v>313</v>
      </c>
      <c r="C13" s="81" t="s">
        <v>322</v>
      </c>
      <c r="D13" s="81">
        <v>74</v>
      </c>
    </row>
    <row r="14" spans="1:8">
      <c r="A14" s="81" t="s">
        <v>308</v>
      </c>
      <c r="B14" s="81" t="s">
        <v>313</v>
      </c>
      <c r="C14" s="81" t="s">
        <v>322</v>
      </c>
      <c r="D14" s="81">
        <v>3717</v>
      </c>
    </row>
    <row r="15" spans="1:8">
      <c r="A15" s="81" t="s">
        <v>308</v>
      </c>
      <c r="B15" s="81" t="s">
        <v>313</v>
      </c>
      <c r="C15" s="81" t="s">
        <v>322</v>
      </c>
      <c r="D15" s="81">
        <v>948</v>
      </c>
    </row>
    <row r="16" spans="1:8">
      <c r="A16" s="81" t="s">
        <v>308</v>
      </c>
      <c r="B16" s="81" t="s">
        <v>313</v>
      </c>
      <c r="C16" s="81" t="s">
        <v>322</v>
      </c>
      <c r="D16" s="81">
        <v>1561</v>
      </c>
    </row>
    <row r="17" spans="1:4">
      <c r="A17" s="81" t="s">
        <v>308</v>
      </c>
      <c r="B17" s="81" t="s">
        <v>315</v>
      </c>
      <c r="C17" s="81" t="s">
        <v>322</v>
      </c>
      <c r="D17" s="81">
        <v>533</v>
      </c>
    </row>
    <row r="18" spans="1:4">
      <c r="A18" s="81" t="s">
        <v>308</v>
      </c>
      <c r="B18" s="81" t="s">
        <v>315</v>
      </c>
      <c r="C18" s="81" t="s">
        <v>322</v>
      </c>
      <c r="D18" s="81">
        <v>1412</v>
      </c>
    </row>
    <row r="19" spans="1:4">
      <c r="A19" s="81" t="s">
        <v>308</v>
      </c>
      <c r="B19" s="81" t="s">
        <v>315</v>
      </c>
      <c r="C19" s="81" t="s">
        <v>322</v>
      </c>
      <c r="D19" s="81">
        <v>4049</v>
      </c>
    </row>
    <row r="20" spans="1:4">
      <c r="A20" s="81" t="s">
        <v>308</v>
      </c>
      <c r="B20" s="81" t="s">
        <v>315</v>
      </c>
      <c r="C20" s="81" t="s">
        <v>322</v>
      </c>
      <c r="D20" s="81">
        <v>2082</v>
      </c>
    </row>
    <row r="21" spans="1:4">
      <c r="A21" s="81" t="s">
        <v>308</v>
      </c>
      <c r="B21" s="81" t="s">
        <v>315</v>
      </c>
      <c r="C21" s="81" t="s">
        <v>322</v>
      </c>
      <c r="D21" s="81">
        <v>10059</v>
      </c>
    </row>
    <row r="22" spans="1:4">
      <c r="A22" s="81" t="s">
        <v>308</v>
      </c>
      <c r="B22" s="81" t="s">
        <v>315</v>
      </c>
      <c r="C22" s="81" t="s">
        <v>322</v>
      </c>
      <c r="D22" s="81">
        <v>36150</v>
      </c>
    </row>
    <row r="23" spans="1:4">
      <c r="A23" s="81" t="s">
        <v>308</v>
      </c>
      <c r="B23" s="81" t="s">
        <v>313</v>
      </c>
      <c r="C23" s="81" t="s">
        <v>322</v>
      </c>
      <c r="D23" s="81">
        <v>10569</v>
      </c>
    </row>
    <row r="24" spans="1:4">
      <c r="A24" s="81" t="s">
        <v>308</v>
      </c>
      <c r="B24" s="81" t="s">
        <v>311</v>
      </c>
      <c r="C24" s="81" t="s">
        <v>322</v>
      </c>
      <c r="D24" s="81">
        <v>28729</v>
      </c>
    </row>
    <row r="25" spans="1:4">
      <c r="A25" s="81" t="s">
        <v>308</v>
      </c>
      <c r="B25" s="81" t="s">
        <v>317</v>
      </c>
      <c r="C25" s="81" t="s">
        <v>322</v>
      </c>
      <c r="D25" s="81">
        <v>20318</v>
      </c>
    </row>
    <row r="26" spans="1:4">
      <c r="A26" s="81" t="s">
        <v>308</v>
      </c>
      <c r="B26" s="81" t="s">
        <v>319</v>
      </c>
      <c r="C26" s="81" t="s">
        <v>322</v>
      </c>
      <c r="D26" s="81">
        <v>8500</v>
      </c>
    </row>
    <row r="27" spans="1:4">
      <c r="A27" s="81" t="s">
        <v>308</v>
      </c>
      <c r="B27" s="81" t="s">
        <v>321</v>
      </c>
      <c r="C27" s="81" t="s">
        <v>322</v>
      </c>
      <c r="D27" s="81">
        <v>2498</v>
      </c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13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0"/>
  <sheetViews>
    <sheetView zoomScale="115" zoomScaleNormal="115" workbookViewId="0">
      <selection sqref="A1:D1048576"/>
    </sheetView>
  </sheetViews>
  <sheetFormatPr defaultRowHeight="13.5"/>
  <cols>
    <col min="2" max="2" width="15.375" bestFit="1" customWidth="1"/>
    <col min="4" max="4" width="9.5" bestFit="1" customWidth="1"/>
  </cols>
  <sheetData>
    <row r="1" spans="1:4">
      <c r="A1" s="82" t="s">
        <v>292</v>
      </c>
      <c r="B1" s="82" t="s">
        <v>293</v>
      </c>
      <c r="C1" s="82" t="s">
        <v>294</v>
      </c>
      <c r="D1" s="82" t="s">
        <v>295</v>
      </c>
    </row>
    <row r="2" spans="1:4">
      <c r="A2" s="82" t="s">
        <v>323</v>
      </c>
      <c r="B2" s="82" t="s">
        <v>326</v>
      </c>
      <c r="C2" s="82" t="s">
        <v>324</v>
      </c>
      <c r="D2" s="82">
        <v>15</v>
      </c>
    </row>
    <row r="3" spans="1:4">
      <c r="A3" s="82" t="s">
        <v>323</v>
      </c>
      <c r="B3" s="82" t="s">
        <v>327</v>
      </c>
      <c r="C3" s="82" t="s">
        <v>324</v>
      </c>
      <c r="D3" s="82">
        <v>7124</v>
      </c>
    </row>
    <row r="4" spans="1:4">
      <c r="A4" s="82" t="s">
        <v>323</v>
      </c>
      <c r="B4" s="82" t="s">
        <v>328</v>
      </c>
      <c r="C4" s="82" t="s">
        <v>324</v>
      </c>
      <c r="D4" s="82">
        <v>2040</v>
      </c>
    </row>
    <row r="5" spans="1:4">
      <c r="A5" s="82" t="s">
        <v>323</v>
      </c>
      <c r="B5" s="82" t="s">
        <v>328</v>
      </c>
      <c r="C5" s="82" t="s">
        <v>324</v>
      </c>
      <c r="D5" s="82">
        <v>4180</v>
      </c>
    </row>
    <row r="6" spans="1:4">
      <c r="A6" s="82" t="s">
        <v>323</v>
      </c>
      <c r="B6" s="82" t="s">
        <v>328</v>
      </c>
      <c r="C6" s="82" t="s">
        <v>324</v>
      </c>
      <c r="D6" s="82">
        <v>4760</v>
      </c>
    </row>
    <row r="7" spans="1:4">
      <c r="A7" s="82" t="s">
        <v>323</v>
      </c>
      <c r="B7" s="82" t="s">
        <v>330</v>
      </c>
      <c r="C7" s="82" t="s">
        <v>324</v>
      </c>
      <c r="D7" s="82">
        <v>6660</v>
      </c>
    </row>
    <row r="8" spans="1:4">
      <c r="A8" s="82" t="s">
        <v>323</v>
      </c>
      <c r="B8" s="82" t="s">
        <v>329</v>
      </c>
      <c r="C8" s="82" t="s">
        <v>324</v>
      </c>
      <c r="D8" s="82">
        <v>1383</v>
      </c>
    </row>
    <row r="9" spans="1:4">
      <c r="A9" s="82" t="s">
        <v>323</v>
      </c>
      <c r="B9" s="82"/>
      <c r="C9" s="82" t="s">
        <v>324</v>
      </c>
      <c r="D9" s="82">
        <v>1380</v>
      </c>
    </row>
    <row r="10" spans="1:4">
      <c r="A10" s="75" t="s">
        <v>325</v>
      </c>
      <c r="B10" s="82"/>
      <c r="C10" s="82"/>
      <c r="D10" s="82">
        <f>SUM(D2:D9)</f>
        <v>27542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13" scale="150" fitToWidth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N11"/>
  <sheetViews>
    <sheetView workbookViewId="0">
      <selection activeCell="I17" sqref="I17"/>
    </sheetView>
  </sheetViews>
  <sheetFormatPr defaultRowHeight="13.5"/>
  <cols>
    <col min="1" max="3" width="11.625" style="13" bestFit="1" customWidth="1"/>
    <col min="6" max="6" width="11" bestFit="1" customWidth="1"/>
    <col min="9" max="10" width="9" style="56"/>
    <col min="11" max="11" width="16.125" style="56" bestFit="1" customWidth="1"/>
    <col min="12" max="12" width="9" style="56"/>
  </cols>
  <sheetData>
    <row r="1" spans="1:14">
      <c r="A1" s="13">
        <v>198648</v>
      </c>
      <c r="B1" s="13">
        <v>1115866.5</v>
      </c>
      <c r="C1" s="13">
        <v>743959</v>
      </c>
      <c r="F1" s="77" t="s">
        <v>266</v>
      </c>
      <c r="G1" s="77">
        <v>27000</v>
      </c>
      <c r="I1" s="56">
        <v>462000</v>
      </c>
      <c r="J1" s="56">
        <v>12.5121</v>
      </c>
      <c r="K1" s="78">
        <f>J1*I1</f>
        <v>5780590.2000000002</v>
      </c>
    </row>
    <row r="2" spans="1:14">
      <c r="A2" s="13">
        <v>493348</v>
      </c>
      <c r="B2" s="13">
        <v>833160</v>
      </c>
      <c r="C2" s="13">
        <v>343744.5</v>
      </c>
      <c r="F2" s="77" t="s">
        <v>267</v>
      </c>
      <c r="G2" s="77">
        <v>301200</v>
      </c>
      <c r="M2">
        <v>1708</v>
      </c>
    </row>
    <row r="3" spans="1:14">
      <c r="A3" s="13">
        <v>1450710</v>
      </c>
      <c r="B3" s="13">
        <f>SUM(B1:B2)</f>
        <v>1949026.5</v>
      </c>
      <c r="C3" s="13">
        <f>SUM(C1:C2)</f>
        <v>1087703.5</v>
      </c>
      <c r="F3" s="77" t="s">
        <v>268</v>
      </c>
      <c r="G3" s="77">
        <v>303000</v>
      </c>
      <c r="M3">
        <v>500</v>
      </c>
    </row>
    <row r="4" spans="1:14">
      <c r="A4" s="13">
        <f>SUM(A1:A3)</f>
        <v>2142706</v>
      </c>
      <c r="F4" s="77" t="s">
        <v>269</v>
      </c>
      <c r="G4" s="77">
        <v>9000</v>
      </c>
    </row>
    <row r="5" spans="1:14">
      <c r="F5" s="77" t="s">
        <v>270</v>
      </c>
      <c r="G5" s="77">
        <v>200</v>
      </c>
    </row>
    <row r="6" spans="1:14">
      <c r="F6" s="77" t="s">
        <v>271</v>
      </c>
      <c r="G6" s="77">
        <v>200</v>
      </c>
    </row>
    <row r="7" spans="1:14">
      <c r="F7" s="77" t="s">
        <v>272</v>
      </c>
      <c r="G7" s="77">
        <v>1430</v>
      </c>
    </row>
    <row r="8" spans="1:14">
      <c r="F8" s="77" t="s">
        <v>273</v>
      </c>
      <c r="G8" s="77">
        <v>3000</v>
      </c>
    </row>
    <row r="9" spans="1:14">
      <c r="F9" s="77" t="s">
        <v>275</v>
      </c>
      <c r="G9" s="77">
        <v>369</v>
      </c>
      <c r="N9">
        <v>303000</v>
      </c>
    </row>
    <row r="10" spans="1:14">
      <c r="F10" s="77" t="s">
        <v>274</v>
      </c>
      <c r="G10" s="77">
        <f>G1+G2-G3-G4-G5-G6-G7-G8-G9</f>
        <v>11001</v>
      </c>
      <c r="N10">
        <v>301200</v>
      </c>
    </row>
    <row r="11" spans="1:14">
      <c r="N11">
        <f>N9-N10</f>
        <v>1800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5"/>
  <sheetViews>
    <sheetView topLeftCell="A4" zoomScale="70" zoomScaleNormal="70" workbookViewId="0">
      <selection activeCell="B10" sqref="B10"/>
    </sheetView>
  </sheetViews>
  <sheetFormatPr defaultRowHeight="13.5"/>
  <sheetData>
    <row r="1" spans="1:1">
      <c r="A1" t="s">
        <v>331</v>
      </c>
    </row>
    <row r="4" spans="1:1" ht="13.5" customHeight="1"/>
    <row r="5" spans="1:1" ht="13.5" customHeight="1"/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F2:P29"/>
  <sheetViews>
    <sheetView topLeftCell="C1" workbookViewId="0">
      <selection activeCell="L8" sqref="L8"/>
    </sheetView>
  </sheetViews>
  <sheetFormatPr defaultRowHeight="13.5"/>
  <cols>
    <col min="5" max="5" width="4.375" bestFit="1" customWidth="1"/>
    <col min="6" max="6" width="12.375" style="56" bestFit="1" customWidth="1"/>
    <col min="7" max="7" width="21.25" bestFit="1" customWidth="1"/>
    <col min="9" max="9" width="21.25" bestFit="1" customWidth="1"/>
    <col min="11" max="11" width="11.25" style="56" bestFit="1" customWidth="1"/>
  </cols>
  <sheetData>
    <row r="2" spans="6:11">
      <c r="G2" s="98" t="s">
        <v>250</v>
      </c>
      <c r="H2" s="98"/>
      <c r="I2" s="98" t="s">
        <v>251</v>
      </c>
      <c r="J2" s="98"/>
    </row>
    <row r="3" spans="6:11">
      <c r="G3" s="71" t="s">
        <v>245</v>
      </c>
      <c r="H3" s="72">
        <v>6081</v>
      </c>
      <c r="I3" s="71" t="s">
        <v>245</v>
      </c>
      <c r="J3" s="71">
        <v>5819</v>
      </c>
      <c r="K3" s="56">
        <f>H3-J3</f>
        <v>262</v>
      </c>
    </row>
    <row r="4" spans="6:11">
      <c r="G4" s="71" t="s">
        <v>230</v>
      </c>
      <c r="H4" s="72">
        <v>50130</v>
      </c>
      <c r="I4" s="71" t="s">
        <v>230</v>
      </c>
      <c r="J4" s="71">
        <v>50130</v>
      </c>
    </row>
    <row r="5" spans="6:11">
      <c r="G5" s="71" t="s">
        <v>231</v>
      </c>
      <c r="H5" s="75">
        <v>41906</v>
      </c>
      <c r="I5" s="71" t="s">
        <v>231</v>
      </c>
      <c r="J5" s="71">
        <v>41906</v>
      </c>
    </row>
    <row r="6" spans="6:11">
      <c r="F6" s="56" t="s">
        <v>252</v>
      </c>
      <c r="G6" s="71" t="s">
        <v>232</v>
      </c>
      <c r="H6" s="72">
        <f>H3+H4-H5</f>
        <v>14305</v>
      </c>
      <c r="I6" s="71" t="s">
        <v>232</v>
      </c>
      <c r="J6" s="71">
        <f>J3+J4-J5</f>
        <v>14043</v>
      </c>
    </row>
    <row r="7" spans="6:11">
      <c r="F7" s="56">
        <f>H5+H8+H11</f>
        <v>133904</v>
      </c>
      <c r="G7" s="71" t="s">
        <v>233</v>
      </c>
      <c r="H7" s="72">
        <v>43340</v>
      </c>
      <c r="I7" s="71" t="s">
        <v>233</v>
      </c>
      <c r="J7" s="71">
        <v>43340</v>
      </c>
    </row>
    <row r="8" spans="6:11">
      <c r="G8" s="71" t="s">
        <v>234</v>
      </c>
      <c r="H8" s="73">
        <v>38178</v>
      </c>
      <c r="I8" s="71" t="s">
        <v>234</v>
      </c>
      <c r="J8" s="71">
        <v>38178</v>
      </c>
    </row>
    <row r="9" spans="6:11">
      <c r="F9" s="56" t="s">
        <v>253</v>
      </c>
      <c r="G9" s="71" t="s">
        <v>235</v>
      </c>
      <c r="H9" s="72">
        <f>H6+H7-H8</f>
        <v>19467</v>
      </c>
      <c r="I9" s="71" t="s">
        <v>235</v>
      </c>
      <c r="J9" s="71">
        <f>J6+J7-J8</f>
        <v>19205</v>
      </c>
      <c r="K9" s="56" t="s">
        <v>253</v>
      </c>
    </row>
    <row r="10" spans="6:11">
      <c r="F10" s="56">
        <f>H11+H14</f>
        <v>108871</v>
      </c>
      <c r="G10" s="71" t="s">
        <v>236</v>
      </c>
      <c r="H10" s="72">
        <v>40670</v>
      </c>
      <c r="I10" s="71" t="s">
        <v>236</v>
      </c>
      <c r="J10" s="71">
        <v>40670</v>
      </c>
      <c r="K10" s="56">
        <f>J11+J14</f>
        <v>108871</v>
      </c>
    </row>
    <row r="11" spans="6:11">
      <c r="G11" s="71" t="s">
        <v>237</v>
      </c>
      <c r="H11" s="74">
        <v>53820</v>
      </c>
      <c r="I11" s="71" t="s">
        <v>237</v>
      </c>
      <c r="J11" s="71">
        <v>52620</v>
      </c>
    </row>
    <row r="12" spans="6:11">
      <c r="G12" s="71" t="s">
        <v>238</v>
      </c>
      <c r="H12" s="72">
        <f>H9+H10-H11</f>
        <v>6317</v>
      </c>
      <c r="I12" s="71" t="s">
        <v>238</v>
      </c>
      <c r="J12" s="71">
        <f>J9+J10-J11</f>
        <v>7255</v>
      </c>
    </row>
    <row r="13" spans="6:11">
      <c r="G13" s="71" t="s">
        <v>239</v>
      </c>
      <c r="H13" s="72">
        <v>55160</v>
      </c>
      <c r="I13" s="71" t="s">
        <v>239</v>
      </c>
      <c r="J13" s="71">
        <v>55160</v>
      </c>
    </row>
    <row r="14" spans="6:11">
      <c r="G14" s="71" t="s">
        <v>240</v>
      </c>
      <c r="H14" s="74">
        <v>55051</v>
      </c>
      <c r="I14" s="71" t="s">
        <v>240</v>
      </c>
      <c r="J14" s="71">
        <v>56251</v>
      </c>
    </row>
    <row r="15" spans="6:11">
      <c r="G15" s="71" t="s">
        <v>241</v>
      </c>
      <c r="H15" s="72">
        <f>H12+H13-H14</f>
        <v>6426</v>
      </c>
      <c r="I15" s="71" t="s">
        <v>241</v>
      </c>
      <c r="J15" s="71">
        <f>J12+J13-J14</f>
        <v>6164</v>
      </c>
    </row>
    <row r="16" spans="6:11">
      <c r="G16" s="71" t="s">
        <v>242</v>
      </c>
      <c r="H16" s="72">
        <v>60810</v>
      </c>
      <c r="I16" s="71" t="s">
        <v>242</v>
      </c>
      <c r="J16" s="71">
        <v>60810</v>
      </c>
    </row>
    <row r="17" spans="7:16">
      <c r="G17" s="71" t="s">
        <v>243</v>
      </c>
      <c r="H17" s="72">
        <v>54954</v>
      </c>
      <c r="I17" s="71" t="s">
        <v>243</v>
      </c>
      <c r="J17" s="71">
        <v>54954</v>
      </c>
    </row>
    <row r="18" spans="7:16">
      <c r="G18" s="71" t="s">
        <v>244</v>
      </c>
      <c r="H18" s="72">
        <f>H15+H16-H17</f>
        <v>12282</v>
      </c>
      <c r="I18" s="71" t="s">
        <v>244</v>
      </c>
      <c r="J18" s="71">
        <f>J15+J16-J17</f>
        <v>12020</v>
      </c>
      <c r="K18" s="56">
        <f>H18-J18</f>
        <v>262</v>
      </c>
    </row>
    <row r="20" spans="7:16">
      <c r="G20" s="75" t="s">
        <v>248</v>
      </c>
      <c r="H20" s="75">
        <v>250110</v>
      </c>
      <c r="I20" s="75" t="s">
        <v>248</v>
      </c>
      <c r="J20" s="75">
        <v>250110</v>
      </c>
    </row>
    <row r="21" spans="7:16">
      <c r="G21" s="75" t="s">
        <v>249</v>
      </c>
      <c r="H21" s="72">
        <v>243909</v>
      </c>
      <c r="I21" s="75" t="s">
        <v>249</v>
      </c>
      <c r="J21" s="75">
        <v>243909</v>
      </c>
      <c r="P21">
        <v>3030</v>
      </c>
    </row>
    <row r="22" spans="7:16">
      <c r="P22">
        <v>3800</v>
      </c>
    </row>
    <row r="23" spans="7:16">
      <c r="G23" s="100" t="s">
        <v>262</v>
      </c>
      <c r="H23" s="100"/>
      <c r="I23" s="100"/>
      <c r="J23" s="100"/>
      <c r="P23">
        <v>13701</v>
      </c>
    </row>
    <row r="24" spans="7:16">
      <c r="G24" s="99" t="s">
        <v>250</v>
      </c>
      <c r="H24" s="99"/>
      <c r="I24" s="99" t="s">
        <v>251</v>
      </c>
      <c r="J24" s="99"/>
      <c r="P24">
        <v>12326</v>
      </c>
    </row>
    <row r="25" spans="7:16">
      <c r="G25" s="72" t="s">
        <v>244</v>
      </c>
      <c r="H25" s="72">
        <v>12282</v>
      </c>
      <c r="I25" s="72" t="s">
        <v>244</v>
      </c>
      <c r="J25" s="72">
        <v>12020</v>
      </c>
    </row>
    <row r="26" spans="7:16">
      <c r="G26" s="72" t="s">
        <v>258</v>
      </c>
      <c r="H26" s="72">
        <v>25880</v>
      </c>
      <c r="I26" s="72" t="s">
        <v>258</v>
      </c>
      <c r="J26" s="72">
        <v>25880</v>
      </c>
    </row>
    <row r="27" spans="7:16">
      <c r="G27" s="72" t="s">
        <v>259</v>
      </c>
      <c r="H27" s="72">
        <v>32857</v>
      </c>
      <c r="I27" s="72" t="s">
        <v>259</v>
      </c>
      <c r="J27" s="72">
        <v>32857</v>
      </c>
    </row>
    <row r="28" spans="7:16">
      <c r="G28" s="72" t="s">
        <v>260</v>
      </c>
      <c r="H28" s="72">
        <f>H25+H26-H27</f>
        <v>5305</v>
      </c>
      <c r="I28" s="72" t="s">
        <v>260</v>
      </c>
      <c r="J28" s="72">
        <f>J25+J26-J27</f>
        <v>5043</v>
      </c>
    </row>
    <row r="29" spans="7:16">
      <c r="G29" s="75" t="s">
        <v>261</v>
      </c>
      <c r="H29" s="72">
        <v>5343.94</v>
      </c>
      <c r="I29" s="72"/>
      <c r="J29" s="72"/>
    </row>
  </sheetData>
  <autoFilter ref="G3:J18"/>
  <mergeCells count="5">
    <mergeCell ref="G2:H2"/>
    <mergeCell ref="I2:J2"/>
    <mergeCell ref="G24:H24"/>
    <mergeCell ref="I24:J24"/>
    <mergeCell ref="G23:J23"/>
  </mergeCells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K1"/>
  <sheetViews>
    <sheetView workbookViewId="0">
      <selection activeCell="F13" sqref="F13"/>
    </sheetView>
  </sheetViews>
  <sheetFormatPr defaultRowHeight="13.5"/>
  <cols>
    <col min="2" max="2" width="9" style="56"/>
    <col min="6" max="11" width="9" style="56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K15"/>
  <sheetViews>
    <sheetView zoomScale="130" zoomScaleNormal="130" workbookViewId="0">
      <pane ySplit="1" topLeftCell="A2" activePane="bottomLeft" state="frozen"/>
      <selection pane="bottomLeft" activeCell="C17" sqref="C17"/>
    </sheetView>
  </sheetViews>
  <sheetFormatPr defaultRowHeight="13.5"/>
  <sheetData>
    <row r="2" spans="2:11">
      <c r="E2" s="56"/>
      <c r="F2" s="56"/>
      <c r="G2" s="56"/>
      <c r="H2" s="56"/>
      <c r="I2" s="56"/>
      <c r="K2">
        <f>2.3-1.16</f>
        <v>1.1399999999999999</v>
      </c>
    </row>
    <row r="3" spans="2:11">
      <c r="E3" s="71" t="s">
        <v>247</v>
      </c>
      <c r="F3" s="71"/>
      <c r="G3" s="71"/>
      <c r="H3" s="71"/>
      <c r="I3" s="71" t="s">
        <v>246</v>
      </c>
    </row>
    <row r="4" spans="2:11">
      <c r="E4" s="85"/>
      <c r="F4" s="73">
        <v>9.3200000000000005E-2</v>
      </c>
      <c r="G4" s="73">
        <v>4.9000000000000004</v>
      </c>
      <c r="H4" s="73">
        <v>1000</v>
      </c>
      <c r="I4" s="73">
        <f t="shared" ref="I4:I9" si="0">H4*G4*F4</f>
        <v>456.68</v>
      </c>
    </row>
    <row r="5" spans="2:11">
      <c r="E5" s="85">
        <v>0.28999999999999998</v>
      </c>
      <c r="F5" s="73">
        <v>0.30359999999999998</v>
      </c>
      <c r="G5" s="73">
        <v>4.9000000000000004</v>
      </c>
      <c r="H5" s="73">
        <v>1000</v>
      </c>
      <c r="I5" s="73">
        <f t="shared" si="0"/>
        <v>1487.6399999999999</v>
      </c>
    </row>
    <row r="6" spans="2:11">
      <c r="E6" s="85">
        <v>1.1399999999999999</v>
      </c>
      <c r="F6" s="73">
        <v>2.0543999999999998</v>
      </c>
      <c r="G6" s="73">
        <v>4.9000000000000004</v>
      </c>
      <c r="H6" s="73">
        <v>1000</v>
      </c>
      <c r="I6" s="73">
        <f t="shared" si="0"/>
        <v>10066.56</v>
      </c>
    </row>
    <row r="7" spans="2:11">
      <c r="E7" s="85">
        <v>1.31</v>
      </c>
      <c r="F7" s="73">
        <v>2.4607000000000001</v>
      </c>
      <c r="G7" s="73">
        <v>4.92</v>
      </c>
      <c r="H7" s="73">
        <v>1000</v>
      </c>
      <c r="I7" s="73">
        <f t="shared" si="0"/>
        <v>12106.644</v>
      </c>
    </row>
    <row r="8" spans="2:11">
      <c r="E8" s="85">
        <v>0.87</v>
      </c>
      <c r="F8" s="73">
        <v>1.4398</v>
      </c>
      <c r="G8" s="73">
        <v>4.9000000000000004</v>
      </c>
      <c r="H8" s="73">
        <v>1000</v>
      </c>
      <c r="I8" s="73">
        <f t="shared" si="0"/>
        <v>7055.0199999999995</v>
      </c>
    </row>
    <row r="9" spans="2:11">
      <c r="E9" s="75">
        <v>0.59</v>
      </c>
      <c r="F9" s="73">
        <v>3</v>
      </c>
      <c r="G9" s="73">
        <v>4.9000000000000004</v>
      </c>
      <c r="H9" s="73">
        <v>1000</v>
      </c>
      <c r="I9" s="73">
        <f t="shared" si="0"/>
        <v>14700</v>
      </c>
    </row>
    <row r="10" spans="2:11">
      <c r="E10" s="86">
        <v>0.4</v>
      </c>
      <c r="F10" s="73">
        <v>0.48399999999999999</v>
      </c>
      <c r="G10" s="73">
        <v>4.9000000000000004</v>
      </c>
      <c r="H10" s="73">
        <v>1000</v>
      </c>
      <c r="I10" s="73">
        <f t="shared" ref="I10" si="1">H10*G10*F10</f>
        <v>2371.6</v>
      </c>
    </row>
    <row r="15" spans="2:11">
      <c r="B15">
        <f>B14*5</f>
        <v>0</v>
      </c>
    </row>
  </sheetData>
  <sortState ref="A1:J38">
    <sortCondition ref="A1:A38"/>
    <sortCondition ref="J1:J38"/>
  </sortState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37"/>
  <sheetViews>
    <sheetView workbookViewId="0">
      <selection activeCell="N1" sqref="N1"/>
    </sheetView>
  </sheetViews>
  <sheetFormatPr defaultRowHeight="13.5"/>
  <cols>
    <col min="14" max="15" width="13.75" bestFit="1" customWidth="1"/>
  </cols>
  <sheetData>
    <row r="1" spans="1:15">
      <c r="A1" t="s">
        <v>332</v>
      </c>
      <c r="D1" t="s">
        <v>332</v>
      </c>
      <c r="N1" t="s">
        <v>332</v>
      </c>
      <c r="O1" t="s">
        <v>332</v>
      </c>
    </row>
    <row r="2" spans="1:15">
      <c r="A2" t="s">
        <v>333</v>
      </c>
      <c r="D2" t="s">
        <v>333</v>
      </c>
      <c r="N2" t="s">
        <v>333</v>
      </c>
      <c r="O2" t="s">
        <v>333</v>
      </c>
    </row>
    <row r="3" spans="1:15">
      <c r="A3" t="s">
        <v>334</v>
      </c>
      <c r="D3" t="s">
        <v>334</v>
      </c>
      <c r="N3" t="s">
        <v>334</v>
      </c>
      <c r="O3" t="s">
        <v>334</v>
      </c>
    </row>
    <row r="4" spans="1:15">
      <c r="A4" t="s">
        <v>335</v>
      </c>
      <c r="D4" t="s">
        <v>335</v>
      </c>
      <c r="N4" t="s">
        <v>335</v>
      </c>
      <c r="O4" t="s">
        <v>335</v>
      </c>
    </row>
    <row r="5" spans="1:15">
      <c r="A5" t="s">
        <v>336</v>
      </c>
      <c r="D5" t="s">
        <v>336</v>
      </c>
      <c r="N5" t="s">
        <v>336</v>
      </c>
      <c r="O5" t="s">
        <v>336</v>
      </c>
    </row>
    <row r="6" spans="1:15">
      <c r="A6" t="s">
        <v>337</v>
      </c>
      <c r="D6" t="s">
        <v>337</v>
      </c>
      <c r="N6" t="s">
        <v>337</v>
      </c>
      <c r="O6" t="s">
        <v>337</v>
      </c>
    </row>
    <row r="7" spans="1:15">
      <c r="A7" t="s">
        <v>338</v>
      </c>
      <c r="D7" t="s">
        <v>338</v>
      </c>
      <c r="N7" t="s">
        <v>338</v>
      </c>
      <c r="O7" t="s">
        <v>338</v>
      </c>
    </row>
    <row r="8" spans="1:15">
      <c r="A8" t="s">
        <v>339</v>
      </c>
      <c r="D8" t="s">
        <v>339</v>
      </c>
      <c r="N8" t="s">
        <v>339</v>
      </c>
      <c r="O8" t="s">
        <v>339</v>
      </c>
    </row>
    <row r="9" spans="1:15">
      <c r="A9" t="s">
        <v>340</v>
      </c>
      <c r="D9" t="s">
        <v>340</v>
      </c>
      <c r="N9" t="s">
        <v>340</v>
      </c>
      <c r="O9" t="s">
        <v>340</v>
      </c>
    </row>
    <row r="10" spans="1:15">
      <c r="A10" t="s">
        <v>341</v>
      </c>
      <c r="D10" t="s">
        <v>341</v>
      </c>
      <c r="N10" t="s">
        <v>341</v>
      </c>
      <c r="O10" t="s">
        <v>341</v>
      </c>
    </row>
    <row r="11" spans="1:15">
      <c r="A11" t="s">
        <v>342</v>
      </c>
      <c r="D11" t="s">
        <v>342</v>
      </c>
      <c r="N11" t="s">
        <v>342</v>
      </c>
      <c r="O11" t="s">
        <v>342</v>
      </c>
    </row>
    <row r="12" spans="1:15">
      <c r="A12" t="s">
        <v>343</v>
      </c>
      <c r="D12" t="s">
        <v>343</v>
      </c>
      <c r="N12" t="s">
        <v>343</v>
      </c>
      <c r="O12" t="s">
        <v>343</v>
      </c>
    </row>
    <row r="13" spans="1:15">
      <c r="A13" t="s">
        <v>344</v>
      </c>
      <c r="D13" t="s">
        <v>344</v>
      </c>
      <c r="N13" t="s">
        <v>344</v>
      </c>
      <c r="O13" t="s">
        <v>344</v>
      </c>
    </row>
    <row r="14" spans="1:15">
      <c r="A14" t="s">
        <v>345</v>
      </c>
      <c r="D14" t="s">
        <v>345</v>
      </c>
      <c r="N14" t="s">
        <v>345</v>
      </c>
      <c r="O14" t="s">
        <v>345</v>
      </c>
    </row>
    <row r="15" spans="1:15">
      <c r="A15" t="s">
        <v>346</v>
      </c>
      <c r="D15" t="s">
        <v>346</v>
      </c>
      <c r="N15" t="s">
        <v>346</v>
      </c>
      <c r="O15" t="s">
        <v>346</v>
      </c>
    </row>
    <row r="16" spans="1:15">
      <c r="A16" t="s">
        <v>347</v>
      </c>
      <c r="D16" t="s">
        <v>347</v>
      </c>
      <c r="N16" t="s">
        <v>347</v>
      </c>
      <c r="O16" t="s">
        <v>347</v>
      </c>
    </row>
    <row r="17" spans="1:15">
      <c r="A17" t="s">
        <v>348</v>
      </c>
      <c r="D17" t="s">
        <v>348</v>
      </c>
      <c r="N17" t="s">
        <v>348</v>
      </c>
      <c r="O17" t="s">
        <v>348</v>
      </c>
    </row>
    <row r="18" spans="1:15">
      <c r="A18" t="s">
        <v>349</v>
      </c>
      <c r="D18" t="s">
        <v>349</v>
      </c>
      <c r="N18" t="s">
        <v>349</v>
      </c>
      <c r="O18" t="s">
        <v>349</v>
      </c>
    </row>
    <row r="19" spans="1:15">
      <c r="A19" t="s">
        <v>350</v>
      </c>
      <c r="D19" t="s">
        <v>350</v>
      </c>
      <c r="N19" t="s">
        <v>350</v>
      </c>
      <c r="O19" t="s">
        <v>350</v>
      </c>
    </row>
    <row r="20" spans="1:15">
      <c r="A20" t="s">
        <v>351</v>
      </c>
      <c r="D20" t="s">
        <v>351</v>
      </c>
      <c r="N20" t="s">
        <v>351</v>
      </c>
      <c r="O20" t="s">
        <v>351</v>
      </c>
    </row>
    <row r="21" spans="1:15">
      <c r="A21" t="s">
        <v>352</v>
      </c>
      <c r="D21" t="s">
        <v>352</v>
      </c>
      <c r="N21" t="s">
        <v>352</v>
      </c>
      <c r="O21" t="s">
        <v>352</v>
      </c>
    </row>
    <row r="22" spans="1:15">
      <c r="A22" t="s">
        <v>353</v>
      </c>
      <c r="D22" t="s">
        <v>353</v>
      </c>
      <c r="N22" t="s">
        <v>353</v>
      </c>
      <c r="O22" t="s">
        <v>353</v>
      </c>
    </row>
    <row r="23" spans="1:15">
      <c r="A23" t="s">
        <v>354</v>
      </c>
      <c r="D23" t="s">
        <v>354</v>
      </c>
      <c r="N23" t="s">
        <v>354</v>
      </c>
      <c r="O23" t="s">
        <v>354</v>
      </c>
    </row>
    <row r="24" spans="1:15">
      <c r="A24" t="s">
        <v>355</v>
      </c>
      <c r="D24" t="s">
        <v>355</v>
      </c>
      <c r="N24" t="s">
        <v>355</v>
      </c>
      <c r="O24" t="s">
        <v>355</v>
      </c>
    </row>
    <row r="25" spans="1:15">
      <c r="A25" t="s">
        <v>356</v>
      </c>
      <c r="D25" t="s">
        <v>356</v>
      </c>
      <c r="N25" t="s">
        <v>356</v>
      </c>
      <c r="O25" t="s">
        <v>356</v>
      </c>
    </row>
    <row r="26" spans="1:15">
      <c r="A26" t="s">
        <v>357</v>
      </c>
      <c r="D26" t="s">
        <v>357</v>
      </c>
      <c r="N26" t="s">
        <v>357</v>
      </c>
      <c r="O26" t="s">
        <v>357</v>
      </c>
    </row>
    <row r="27" spans="1:15">
      <c r="A27" t="s">
        <v>358</v>
      </c>
      <c r="D27" t="s">
        <v>358</v>
      </c>
      <c r="N27" t="s">
        <v>358</v>
      </c>
      <c r="O27" t="s">
        <v>358</v>
      </c>
    </row>
    <row r="28" spans="1:15">
      <c r="A28" t="s">
        <v>359</v>
      </c>
      <c r="D28" t="s">
        <v>359</v>
      </c>
      <c r="N28" t="s">
        <v>359</v>
      </c>
      <c r="O28" t="s">
        <v>359</v>
      </c>
    </row>
    <row r="29" spans="1:15">
      <c r="A29" t="s">
        <v>360</v>
      </c>
      <c r="D29" t="s">
        <v>360</v>
      </c>
      <c r="N29" t="s">
        <v>360</v>
      </c>
      <c r="O29" t="s">
        <v>360</v>
      </c>
    </row>
    <row r="30" spans="1:15">
      <c r="A30" t="s">
        <v>361</v>
      </c>
      <c r="D30" t="s">
        <v>361</v>
      </c>
      <c r="N30" t="s">
        <v>361</v>
      </c>
      <c r="O30" t="s">
        <v>361</v>
      </c>
    </row>
    <row r="31" spans="1:15">
      <c r="A31" t="s">
        <v>362</v>
      </c>
      <c r="D31" t="s">
        <v>362</v>
      </c>
      <c r="N31" t="s">
        <v>362</v>
      </c>
      <c r="O31" t="s">
        <v>362</v>
      </c>
    </row>
    <row r="32" spans="1:15">
      <c r="A32" t="s">
        <v>363</v>
      </c>
      <c r="D32" t="s">
        <v>363</v>
      </c>
      <c r="N32" t="s">
        <v>363</v>
      </c>
      <c r="O32" t="s">
        <v>363</v>
      </c>
    </row>
    <row r="33" spans="1:15">
      <c r="A33" t="s">
        <v>364</v>
      </c>
      <c r="D33" t="s">
        <v>364</v>
      </c>
      <c r="N33" t="s">
        <v>364</v>
      </c>
      <c r="O33" t="s">
        <v>364</v>
      </c>
    </row>
    <row r="34" spans="1:15">
      <c r="A34" t="s">
        <v>365</v>
      </c>
      <c r="D34" t="s">
        <v>365</v>
      </c>
      <c r="N34" t="s">
        <v>365</v>
      </c>
      <c r="O34" t="s">
        <v>365</v>
      </c>
    </row>
    <row r="35" spans="1:15">
      <c r="A35" t="s">
        <v>366</v>
      </c>
      <c r="D35" t="s">
        <v>366</v>
      </c>
      <c r="N35" t="s">
        <v>366</v>
      </c>
      <c r="O35" t="s">
        <v>366</v>
      </c>
    </row>
    <row r="36" spans="1:15">
      <c r="A36" t="s">
        <v>367</v>
      </c>
      <c r="D36" t="s">
        <v>367</v>
      </c>
      <c r="N36" t="s">
        <v>367</v>
      </c>
      <c r="O36" t="s">
        <v>367</v>
      </c>
    </row>
    <row r="37" spans="1:15">
      <c r="A37" t="s">
        <v>368</v>
      </c>
      <c r="D37" t="s">
        <v>368</v>
      </c>
      <c r="N37" t="s">
        <v>368</v>
      </c>
      <c r="O37" t="s">
        <v>368</v>
      </c>
    </row>
    <row r="38" spans="1:15">
      <c r="A38" t="s">
        <v>369</v>
      </c>
      <c r="D38" t="s">
        <v>369</v>
      </c>
      <c r="N38" t="s">
        <v>369</v>
      </c>
      <c r="O38" t="s">
        <v>369</v>
      </c>
    </row>
    <row r="39" spans="1:15">
      <c r="A39" t="s">
        <v>370</v>
      </c>
      <c r="D39" t="s">
        <v>370</v>
      </c>
      <c r="N39" t="s">
        <v>370</v>
      </c>
      <c r="O39" t="s">
        <v>370</v>
      </c>
    </row>
    <row r="40" spans="1:15">
      <c r="A40" t="s">
        <v>371</v>
      </c>
      <c r="D40" t="s">
        <v>371</v>
      </c>
      <c r="N40" t="s">
        <v>371</v>
      </c>
      <c r="O40" t="s">
        <v>371</v>
      </c>
    </row>
    <row r="41" spans="1:15">
      <c r="A41" t="s">
        <v>372</v>
      </c>
      <c r="D41" t="s">
        <v>372</v>
      </c>
      <c r="N41" t="s">
        <v>372</v>
      </c>
      <c r="O41" t="s">
        <v>372</v>
      </c>
    </row>
    <row r="42" spans="1:15">
      <c r="A42" t="s">
        <v>373</v>
      </c>
      <c r="D42" t="s">
        <v>373</v>
      </c>
      <c r="N42" t="s">
        <v>373</v>
      </c>
      <c r="O42" t="s">
        <v>373</v>
      </c>
    </row>
    <row r="43" spans="1:15">
      <c r="A43" t="s">
        <v>374</v>
      </c>
      <c r="D43" t="s">
        <v>374</v>
      </c>
      <c r="N43" t="s">
        <v>374</v>
      </c>
      <c r="O43" t="s">
        <v>374</v>
      </c>
    </row>
    <row r="44" spans="1:15">
      <c r="A44" t="s">
        <v>375</v>
      </c>
      <c r="D44" t="s">
        <v>375</v>
      </c>
      <c r="N44" t="s">
        <v>375</v>
      </c>
      <c r="O44" t="s">
        <v>375</v>
      </c>
    </row>
    <row r="45" spans="1:15">
      <c r="A45" t="s">
        <v>376</v>
      </c>
      <c r="D45" t="s">
        <v>376</v>
      </c>
      <c r="N45" t="s">
        <v>376</v>
      </c>
      <c r="O45" t="s">
        <v>376</v>
      </c>
    </row>
    <row r="46" spans="1:15">
      <c r="A46" t="s">
        <v>377</v>
      </c>
      <c r="D46" t="s">
        <v>377</v>
      </c>
      <c r="N46" t="s">
        <v>377</v>
      </c>
      <c r="O46" t="s">
        <v>377</v>
      </c>
    </row>
    <row r="47" spans="1:15">
      <c r="A47" t="s">
        <v>378</v>
      </c>
      <c r="D47" t="s">
        <v>378</v>
      </c>
      <c r="N47" t="s">
        <v>378</v>
      </c>
      <c r="O47" t="s">
        <v>378</v>
      </c>
    </row>
    <row r="48" spans="1:15">
      <c r="A48" t="s">
        <v>379</v>
      </c>
      <c r="D48" t="s">
        <v>379</v>
      </c>
      <c r="N48" t="s">
        <v>379</v>
      </c>
      <c r="O48" t="s">
        <v>379</v>
      </c>
    </row>
    <row r="49" spans="1:15">
      <c r="A49" t="s">
        <v>380</v>
      </c>
      <c r="D49" t="s">
        <v>380</v>
      </c>
      <c r="N49" t="s">
        <v>380</v>
      </c>
      <c r="O49" t="s">
        <v>380</v>
      </c>
    </row>
    <row r="50" spans="1:15">
      <c r="A50" t="s">
        <v>381</v>
      </c>
      <c r="D50" t="s">
        <v>381</v>
      </c>
      <c r="N50" t="s">
        <v>381</v>
      </c>
      <c r="O50" t="s">
        <v>381</v>
      </c>
    </row>
    <row r="51" spans="1:15">
      <c r="A51" t="s">
        <v>382</v>
      </c>
      <c r="D51" t="s">
        <v>382</v>
      </c>
      <c r="N51" t="s">
        <v>382</v>
      </c>
      <c r="O51" t="s">
        <v>382</v>
      </c>
    </row>
    <row r="52" spans="1:15">
      <c r="A52" t="s">
        <v>383</v>
      </c>
      <c r="D52" t="s">
        <v>383</v>
      </c>
      <c r="N52" t="s">
        <v>383</v>
      </c>
      <c r="O52" t="s">
        <v>383</v>
      </c>
    </row>
    <row r="53" spans="1:15">
      <c r="A53" t="s">
        <v>384</v>
      </c>
      <c r="D53" t="s">
        <v>384</v>
      </c>
      <c r="N53" t="s">
        <v>384</v>
      </c>
      <c r="O53" t="s">
        <v>384</v>
      </c>
    </row>
    <row r="54" spans="1:15">
      <c r="A54" t="s">
        <v>385</v>
      </c>
      <c r="D54" t="s">
        <v>385</v>
      </c>
      <c r="N54" t="s">
        <v>385</v>
      </c>
      <c r="O54" t="s">
        <v>385</v>
      </c>
    </row>
    <row r="55" spans="1:15">
      <c r="A55" t="s">
        <v>386</v>
      </c>
      <c r="D55" t="s">
        <v>386</v>
      </c>
      <c r="N55" t="s">
        <v>386</v>
      </c>
      <c r="O55" t="s">
        <v>386</v>
      </c>
    </row>
    <row r="56" spans="1:15">
      <c r="A56" t="s">
        <v>387</v>
      </c>
      <c r="D56" t="s">
        <v>387</v>
      </c>
      <c r="N56" t="s">
        <v>387</v>
      </c>
      <c r="O56" t="s">
        <v>387</v>
      </c>
    </row>
    <row r="57" spans="1:15">
      <c r="A57" t="s">
        <v>388</v>
      </c>
      <c r="D57" t="s">
        <v>388</v>
      </c>
      <c r="N57" t="s">
        <v>388</v>
      </c>
      <c r="O57" t="s">
        <v>388</v>
      </c>
    </row>
    <row r="58" spans="1:15">
      <c r="A58" t="s">
        <v>389</v>
      </c>
      <c r="D58" t="s">
        <v>389</v>
      </c>
      <c r="N58" t="s">
        <v>389</v>
      </c>
      <c r="O58" t="s">
        <v>389</v>
      </c>
    </row>
    <row r="59" spans="1:15">
      <c r="A59" t="s">
        <v>390</v>
      </c>
      <c r="D59" t="s">
        <v>390</v>
      </c>
      <c r="N59" t="s">
        <v>390</v>
      </c>
      <c r="O59" t="s">
        <v>390</v>
      </c>
    </row>
    <row r="60" spans="1:15">
      <c r="A60" t="s">
        <v>391</v>
      </c>
      <c r="D60" t="s">
        <v>391</v>
      </c>
      <c r="N60" t="s">
        <v>391</v>
      </c>
      <c r="O60" t="s">
        <v>391</v>
      </c>
    </row>
    <row r="61" spans="1:15">
      <c r="A61" t="s">
        <v>392</v>
      </c>
      <c r="D61" t="s">
        <v>392</v>
      </c>
      <c r="N61" t="s">
        <v>392</v>
      </c>
      <c r="O61" t="s">
        <v>392</v>
      </c>
    </row>
    <row r="62" spans="1:15">
      <c r="A62" t="s">
        <v>393</v>
      </c>
      <c r="D62" t="s">
        <v>393</v>
      </c>
      <c r="N62" t="s">
        <v>393</v>
      </c>
      <c r="O62" t="s">
        <v>393</v>
      </c>
    </row>
    <row r="63" spans="1:15">
      <c r="A63" t="s">
        <v>394</v>
      </c>
      <c r="D63" t="s">
        <v>394</v>
      </c>
      <c r="N63" t="s">
        <v>394</v>
      </c>
      <c r="O63" t="s">
        <v>394</v>
      </c>
    </row>
    <row r="64" spans="1:15">
      <c r="A64" t="s">
        <v>395</v>
      </c>
      <c r="D64" t="s">
        <v>395</v>
      </c>
      <c r="N64" t="s">
        <v>395</v>
      </c>
      <c r="O64" t="s">
        <v>395</v>
      </c>
    </row>
    <row r="65" spans="1:15">
      <c r="A65" t="s">
        <v>396</v>
      </c>
      <c r="D65" t="s">
        <v>396</v>
      </c>
      <c r="N65" t="s">
        <v>396</v>
      </c>
      <c r="O65" t="s">
        <v>396</v>
      </c>
    </row>
    <row r="66" spans="1:15">
      <c r="A66" t="s">
        <v>397</v>
      </c>
      <c r="D66" t="s">
        <v>397</v>
      </c>
      <c r="N66" t="s">
        <v>397</v>
      </c>
      <c r="O66" t="s">
        <v>397</v>
      </c>
    </row>
    <row r="67" spans="1:15">
      <c r="A67" t="s">
        <v>398</v>
      </c>
      <c r="D67" t="s">
        <v>398</v>
      </c>
      <c r="N67" t="s">
        <v>398</v>
      </c>
      <c r="O67" t="s">
        <v>398</v>
      </c>
    </row>
    <row r="68" spans="1:15">
      <c r="A68" t="s">
        <v>399</v>
      </c>
      <c r="D68" t="s">
        <v>399</v>
      </c>
      <c r="N68" t="s">
        <v>399</v>
      </c>
      <c r="O68" t="s">
        <v>399</v>
      </c>
    </row>
    <row r="69" spans="1:15">
      <c r="A69" t="s">
        <v>400</v>
      </c>
      <c r="D69" t="s">
        <v>400</v>
      </c>
      <c r="N69" t="s">
        <v>400</v>
      </c>
      <c r="O69" t="s">
        <v>400</v>
      </c>
    </row>
    <row r="70" spans="1:15">
      <c r="A70" t="s">
        <v>401</v>
      </c>
      <c r="D70" t="s">
        <v>401</v>
      </c>
      <c r="N70" t="s">
        <v>401</v>
      </c>
      <c r="O70" t="s">
        <v>401</v>
      </c>
    </row>
    <row r="71" spans="1:15">
      <c r="A71" t="s">
        <v>402</v>
      </c>
      <c r="D71" t="s">
        <v>402</v>
      </c>
      <c r="N71" t="s">
        <v>402</v>
      </c>
      <c r="O71" t="s">
        <v>402</v>
      </c>
    </row>
    <row r="72" spans="1:15">
      <c r="A72" t="s">
        <v>403</v>
      </c>
      <c r="D72" t="s">
        <v>403</v>
      </c>
      <c r="N72" t="s">
        <v>403</v>
      </c>
      <c r="O72" t="s">
        <v>403</v>
      </c>
    </row>
    <row r="73" spans="1:15">
      <c r="A73" t="s">
        <v>404</v>
      </c>
      <c r="D73" t="s">
        <v>404</v>
      </c>
      <c r="N73" t="s">
        <v>404</v>
      </c>
      <c r="O73" t="s">
        <v>404</v>
      </c>
    </row>
    <row r="74" spans="1:15">
      <c r="A74" t="s">
        <v>405</v>
      </c>
      <c r="D74" t="s">
        <v>405</v>
      </c>
      <c r="N74" t="s">
        <v>405</v>
      </c>
      <c r="O74" t="s">
        <v>405</v>
      </c>
    </row>
    <row r="75" spans="1:15">
      <c r="A75" t="s">
        <v>406</v>
      </c>
      <c r="D75" t="s">
        <v>406</v>
      </c>
      <c r="N75" t="s">
        <v>406</v>
      </c>
      <c r="O75" t="s">
        <v>406</v>
      </c>
    </row>
    <row r="76" spans="1:15">
      <c r="A76" t="s">
        <v>407</v>
      </c>
      <c r="D76" t="s">
        <v>407</v>
      </c>
      <c r="N76" t="s">
        <v>407</v>
      </c>
      <c r="O76" t="s">
        <v>407</v>
      </c>
    </row>
    <row r="77" spans="1:15">
      <c r="A77" t="s">
        <v>408</v>
      </c>
      <c r="D77" t="s">
        <v>408</v>
      </c>
      <c r="N77" t="s">
        <v>408</v>
      </c>
      <c r="O77" t="s">
        <v>408</v>
      </c>
    </row>
    <row r="78" spans="1:15">
      <c r="A78" t="s">
        <v>409</v>
      </c>
      <c r="D78" t="s">
        <v>409</v>
      </c>
      <c r="N78" t="s">
        <v>409</v>
      </c>
      <c r="O78" t="s">
        <v>409</v>
      </c>
    </row>
    <row r="79" spans="1:15">
      <c r="A79" t="s">
        <v>410</v>
      </c>
      <c r="D79" t="s">
        <v>410</v>
      </c>
      <c r="N79" t="s">
        <v>410</v>
      </c>
      <c r="O79" t="s">
        <v>410</v>
      </c>
    </row>
    <row r="80" spans="1:15">
      <c r="A80" t="s">
        <v>411</v>
      </c>
      <c r="D80" t="s">
        <v>411</v>
      </c>
      <c r="N80" t="s">
        <v>411</v>
      </c>
      <c r="O80" t="s">
        <v>411</v>
      </c>
    </row>
    <row r="81" spans="1:15">
      <c r="A81" t="s">
        <v>412</v>
      </c>
      <c r="D81" t="s">
        <v>412</v>
      </c>
      <c r="N81" t="s">
        <v>412</v>
      </c>
      <c r="O81" t="s">
        <v>412</v>
      </c>
    </row>
    <row r="82" spans="1:15">
      <c r="A82" t="s">
        <v>413</v>
      </c>
      <c r="D82" t="s">
        <v>413</v>
      </c>
      <c r="N82" t="s">
        <v>413</v>
      </c>
      <c r="O82" t="s">
        <v>413</v>
      </c>
    </row>
    <row r="83" spans="1:15">
      <c r="A83" t="s">
        <v>414</v>
      </c>
      <c r="D83" t="s">
        <v>414</v>
      </c>
      <c r="N83" t="s">
        <v>414</v>
      </c>
      <c r="O83" t="s">
        <v>414</v>
      </c>
    </row>
    <row r="84" spans="1:15">
      <c r="A84" t="s">
        <v>415</v>
      </c>
      <c r="D84" t="s">
        <v>415</v>
      </c>
      <c r="N84" t="s">
        <v>415</v>
      </c>
      <c r="O84" t="s">
        <v>415</v>
      </c>
    </row>
    <row r="85" spans="1:15">
      <c r="A85" t="s">
        <v>416</v>
      </c>
      <c r="D85" t="s">
        <v>416</v>
      </c>
      <c r="N85" t="s">
        <v>416</v>
      </c>
      <c r="O85" t="s">
        <v>416</v>
      </c>
    </row>
    <row r="86" spans="1:15">
      <c r="A86" t="s">
        <v>417</v>
      </c>
      <c r="D86" t="s">
        <v>417</v>
      </c>
      <c r="N86" t="s">
        <v>417</v>
      </c>
      <c r="O86" t="s">
        <v>417</v>
      </c>
    </row>
    <row r="87" spans="1:15">
      <c r="A87" t="s">
        <v>418</v>
      </c>
      <c r="D87" t="s">
        <v>418</v>
      </c>
      <c r="N87" t="s">
        <v>418</v>
      </c>
      <c r="O87" t="s">
        <v>418</v>
      </c>
    </row>
    <row r="88" spans="1:15">
      <c r="A88" t="s">
        <v>419</v>
      </c>
      <c r="D88" t="s">
        <v>419</v>
      </c>
      <c r="N88" t="s">
        <v>419</v>
      </c>
      <c r="O88" t="s">
        <v>419</v>
      </c>
    </row>
    <row r="89" spans="1:15">
      <c r="A89" t="s">
        <v>420</v>
      </c>
      <c r="D89" t="s">
        <v>420</v>
      </c>
      <c r="N89" t="s">
        <v>420</v>
      </c>
    </row>
    <row r="90" spans="1:15">
      <c r="A90" t="s">
        <v>420</v>
      </c>
      <c r="D90" t="s">
        <v>420</v>
      </c>
      <c r="N90" t="s">
        <v>420</v>
      </c>
      <c r="O90" t="s">
        <v>420</v>
      </c>
    </row>
    <row r="91" spans="1:15">
      <c r="A91" t="s">
        <v>421</v>
      </c>
      <c r="D91" t="s">
        <v>421</v>
      </c>
      <c r="N91" t="s">
        <v>421</v>
      </c>
      <c r="O91" t="s">
        <v>421</v>
      </c>
    </row>
    <row r="92" spans="1:15">
      <c r="A92" t="s">
        <v>422</v>
      </c>
      <c r="D92" t="s">
        <v>422</v>
      </c>
      <c r="N92" t="s">
        <v>422</v>
      </c>
      <c r="O92" t="s">
        <v>422</v>
      </c>
    </row>
    <row r="93" spans="1:15">
      <c r="A93" t="s">
        <v>423</v>
      </c>
      <c r="D93" t="s">
        <v>423</v>
      </c>
      <c r="N93" t="s">
        <v>423</v>
      </c>
      <c r="O93" t="s">
        <v>423</v>
      </c>
    </row>
    <row r="94" spans="1:15">
      <c r="A94" t="s">
        <v>424</v>
      </c>
      <c r="D94" t="s">
        <v>424</v>
      </c>
      <c r="N94" t="s">
        <v>424</v>
      </c>
      <c r="O94" t="s">
        <v>424</v>
      </c>
    </row>
    <row r="95" spans="1:15">
      <c r="A95" t="s">
        <v>425</v>
      </c>
      <c r="D95" t="s">
        <v>425</v>
      </c>
      <c r="N95" t="s">
        <v>425</v>
      </c>
      <c r="O95" t="s">
        <v>425</v>
      </c>
    </row>
    <row r="96" spans="1:15">
      <c r="A96" t="s">
        <v>426</v>
      </c>
      <c r="D96" t="s">
        <v>426</v>
      </c>
      <c r="N96" t="s">
        <v>426</v>
      </c>
      <c r="O96" t="s">
        <v>426</v>
      </c>
    </row>
    <row r="97" spans="1:15">
      <c r="A97" t="s">
        <v>427</v>
      </c>
      <c r="D97" t="s">
        <v>427</v>
      </c>
      <c r="N97" t="s">
        <v>427</v>
      </c>
      <c r="O97" t="s">
        <v>427</v>
      </c>
    </row>
    <row r="98" spans="1:15">
      <c r="A98" t="s">
        <v>428</v>
      </c>
      <c r="D98" t="s">
        <v>428</v>
      </c>
      <c r="N98" t="s">
        <v>428</v>
      </c>
      <c r="O98" t="s">
        <v>428</v>
      </c>
    </row>
    <row r="99" spans="1:15">
      <c r="A99" t="s">
        <v>429</v>
      </c>
      <c r="D99" t="s">
        <v>429</v>
      </c>
      <c r="N99" t="s">
        <v>429</v>
      </c>
      <c r="O99" t="s">
        <v>429</v>
      </c>
    </row>
    <row r="100" spans="1:15">
      <c r="A100" t="s">
        <v>430</v>
      </c>
      <c r="D100" t="s">
        <v>430</v>
      </c>
      <c r="N100" t="s">
        <v>430</v>
      </c>
      <c r="O100" t="s">
        <v>430</v>
      </c>
    </row>
    <row r="101" spans="1:15">
      <c r="A101" t="s">
        <v>431</v>
      </c>
      <c r="D101" t="s">
        <v>431</v>
      </c>
      <c r="N101" t="s">
        <v>431</v>
      </c>
      <c r="O101" t="s">
        <v>431</v>
      </c>
    </row>
    <row r="102" spans="1:15">
      <c r="A102" t="s">
        <v>432</v>
      </c>
      <c r="D102" t="s">
        <v>432</v>
      </c>
      <c r="N102" t="s">
        <v>432</v>
      </c>
      <c r="O102" t="s">
        <v>432</v>
      </c>
    </row>
    <row r="103" spans="1:15">
      <c r="A103" t="s">
        <v>433</v>
      </c>
      <c r="D103" t="s">
        <v>433</v>
      </c>
      <c r="N103" t="s">
        <v>433</v>
      </c>
      <c r="O103" t="s">
        <v>433</v>
      </c>
    </row>
    <row r="104" spans="1:15">
      <c r="A104" t="s">
        <v>434</v>
      </c>
      <c r="D104" t="s">
        <v>434</v>
      </c>
      <c r="N104" t="s">
        <v>434</v>
      </c>
      <c r="O104" t="s">
        <v>434</v>
      </c>
    </row>
    <row r="105" spans="1:15">
      <c r="A105" t="s">
        <v>435</v>
      </c>
      <c r="D105" t="s">
        <v>435</v>
      </c>
      <c r="N105" t="s">
        <v>435</v>
      </c>
      <c r="O105" t="s">
        <v>435</v>
      </c>
    </row>
    <row r="106" spans="1:15">
      <c r="A106" t="s">
        <v>436</v>
      </c>
      <c r="D106" t="s">
        <v>436</v>
      </c>
      <c r="N106" t="s">
        <v>436</v>
      </c>
      <c r="O106" t="s">
        <v>436</v>
      </c>
    </row>
    <row r="107" spans="1:15">
      <c r="A107" t="s">
        <v>437</v>
      </c>
      <c r="D107" t="s">
        <v>437</v>
      </c>
      <c r="N107" t="s">
        <v>437</v>
      </c>
      <c r="O107" t="s">
        <v>437</v>
      </c>
    </row>
    <row r="108" spans="1:15">
      <c r="A108" t="s">
        <v>438</v>
      </c>
      <c r="D108" t="s">
        <v>438</v>
      </c>
      <c r="N108" t="s">
        <v>438</v>
      </c>
      <c r="O108" t="s">
        <v>438</v>
      </c>
    </row>
    <row r="109" spans="1:15">
      <c r="A109" t="s">
        <v>439</v>
      </c>
      <c r="D109" t="s">
        <v>439</v>
      </c>
      <c r="N109" t="s">
        <v>439</v>
      </c>
      <c r="O109" t="s">
        <v>439</v>
      </c>
    </row>
    <row r="110" spans="1:15">
      <c r="A110" t="s">
        <v>440</v>
      </c>
      <c r="D110" t="s">
        <v>440</v>
      </c>
      <c r="N110" t="s">
        <v>440</v>
      </c>
      <c r="O110" t="s">
        <v>440</v>
      </c>
    </row>
    <row r="111" spans="1:15">
      <c r="A111" t="s">
        <v>441</v>
      </c>
      <c r="D111" t="s">
        <v>441</v>
      </c>
      <c r="N111" t="s">
        <v>441</v>
      </c>
      <c r="O111" t="s">
        <v>441</v>
      </c>
    </row>
    <row r="112" spans="1:15">
      <c r="A112" t="s">
        <v>442</v>
      </c>
      <c r="D112" t="s">
        <v>442</v>
      </c>
      <c r="N112" t="s">
        <v>442</v>
      </c>
      <c r="O112" t="s">
        <v>442</v>
      </c>
    </row>
    <row r="113" spans="1:15">
      <c r="A113" t="s">
        <v>443</v>
      </c>
      <c r="D113" t="s">
        <v>443</v>
      </c>
      <c r="N113" t="s">
        <v>443</v>
      </c>
      <c r="O113" t="s">
        <v>443</v>
      </c>
    </row>
    <row r="114" spans="1:15">
      <c r="A114" t="s">
        <v>444</v>
      </c>
      <c r="D114" t="s">
        <v>444</v>
      </c>
      <c r="N114" t="s">
        <v>444</v>
      </c>
      <c r="O114" t="s">
        <v>444</v>
      </c>
    </row>
    <row r="115" spans="1:15">
      <c r="A115" t="s">
        <v>445</v>
      </c>
      <c r="D115" t="s">
        <v>445</v>
      </c>
      <c r="N115" t="s">
        <v>445</v>
      </c>
      <c r="O115" t="s">
        <v>445</v>
      </c>
    </row>
    <row r="116" spans="1:15">
      <c r="A116" t="s">
        <v>446</v>
      </c>
      <c r="D116" t="s">
        <v>446</v>
      </c>
      <c r="N116" t="s">
        <v>446</v>
      </c>
      <c r="O116" t="s">
        <v>446</v>
      </c>
    </row>
    <row r="117" spans="1:15">
      <c r="A117" t="s">
        <v>447</v>
      </c>
      <c r="D117" t="s">
        <v>447</v>
      </c>
      <c r="N117" t="s">
        <v>447</v>
      </c>
      <c r="O117" t="s">
        <v>447</v>
      </c>
    </row>
    <row r="118" spans="1:15">
      <c r="A118" t="s">
        <v>448</v>
      </c>
      <c r="D118" t="s">
        <v>448</v>
      </c>
      <c r="N118" t="s">
        <v>448</v>
      </c>
      <c r="O118" t="s">
        <v>448</v>
      </c>
    </row>
    <row r="119" spans="1:15">
      <c r="A119" t="s">
        <v>449</v>
      </c>
      <c r="D119" t="s">
        <v>449</v>
      </c>
      <c r="N119" t="s">
        <v>449</v>
      </c>
      <c r="O119" t="s">
        <v>449</v>
      </c>
    </row>
    <row r="120" spans="1:15">
      <c r="A120" t="s">
        <v>450</v>
      </c>
      <c r="D120" t="s">
        <v>450</v>
      </c>
      <c r="N120" t="s">
        <v>450</v>
      </c>
      <c r="O120" t="s">
        <v>450</v>
      </c>
    </row>
    <row r="121" spans="1:15">
      <c r="A121" t="s">
        <v>451</v>
      </c>
      <c r="D121" t="s">
        <v>451</v>
      </c>
      <c r="N121" t="s">
        <v>451</v>
      </c>
      <c r="O121" t="s">
        <v>451</v>
      </c>
    </row>
    <row r="122" spans="1:15">
      <c r="A122" t="s">
        <v>452</v>
      </c>
      <c r="D122" t="s">
        <v>452</v>
      </c>
      <c r="N122" t="s">
        <v>452</v>
      </c>
      <c r="O122" t="s">
        <v>452</v>
      </c>
    </row>
    <row r="123" spans="1:15">
      <c r="A123" t="s">
        <v>453</v>
      </c>
      <c r="D123" t="s">
        <v>453</v>
      </c>
      <c r="N123" t="s">
        <v>453</v>
      </c>
      <c r="O123" t="s">
        <v>453</v>
      </c>
    </row>
    <row r="124" spans="1:15">
      <c r="A124" t="s">
        <v>454</v>
      </c>
      <c r="D124" t="s">
        <v>454</v>
      </c>
      <c r="N124" t="s">
        <v>454</v>
      </c>
      <c r="O124" t="s">
        <v>454</v>
      </c>
    </row>
    <row r="125" spans="1:15">
      <c r="A125" t="s">
        <v>455</v>
      </c>
      <c r="D125" t="s">
        <v>455</v>
      </c>
      <c r="N125" t="s">
        <v>455</v>
      </c>
      <c r="O125" t="s">
        <v>455</v>
      </c>
    </row>
    <row r="126" spans="1:15">
      <c r="A126" t="s">
        <v>456</v>
      </c>
      <c r="D126" t="s">
        <v>456</v>
      </c>
      <c r="N126" t="s">
        <v>456</v>
      </c>
      <c r="O126" t="s">
        <v>456</v>
      </c>
    </row>
    <row r="127" spans="1:15">
      <c r="A127" t="s">
        <v>457</v>
      </c>
      <c r="D127" t="s">
        <v>457</v>
      </c>
      <c r="N127" t="s">
        <v>457</v>
      </c>
      <c r="O127" t="s">
        <v>457</v>
      </c>
    </row>
    <row r="128" spans="1:15">
      <c r="A128" t="s">
        <v>458</v>
      </c>
      <c r="D128" t="s">
        <v>458</v>
      </c>
      <c r="N128" t="s">
        <v>458</v>
      </c>
      <c r="O128" t="s">
        <v>458</v>
      </c>
    </row>
    <row r="129" spans="1:15">
      <c r="A129" t="s">
        <v>459</v>
      </c>
      <c r="D129" t="s">
        <v>459</v>
      </c>
      <c r="N129" t="s">
        <v>459</v>
      </c>
      <c r="O129" t="s">
        <v>459</v>
      </c>
    </row>
    <row r="130" spans="1:15">
      <c r="A130" t="s">
        <v>460</v>
      </c>
      <c r="D130" t="s">
        <v>460</v>
      </c>
      <c r="N130" t="s">
        <v>460</v>
      </c>
      <c r="O130" t="s">
        <v>460</v>
      </c>
    </row>
    <row r="131" spans="1:15">
      <c r="A131" t="s">
        <v>461</v>
      </c>
      <c r="D131" t="s">
        <v>461</v>
      </c>
      <c r="N131" t="s">
        <v>461</v>
      </c>
      <c r="O131" t="s">
        <v>461</v>
      </c>
    </row>
    <row r="132" spans="1:15">
      <c r="A132" t="s">
        <v>462</v>
      </c>
      <c r="D132" t="s">
        <v>462</v>
      </c>
      <c r="N132" t="s">
        <v>462</v>
      </c>
      <c r="O132" t="s">
        <v>462</v>
      </c>
    </row>
    <row r="133" spans="1:15">
      <c r="A133" t="s">
        <v>463</v>
      </c>
      <c r="D133" t="s">
        <v>463</v>
      </c>
      <c r="N133" t="s">
        <v>463</v>
      </c>
      <c r="O133" t="s">
        <v>463</v>
      </c>
    </row>
    <row r="134" spans="1:15">
      <c r="A134" t="s">
        <v>464</v>
      </c>
      <c r="D134" t="s">
        <v>464</v>
      </c>
      <c r="N134" t="s">
        <v>464</v>
      </c>
      <c r="O134" t="s">
        <v>464</v>
      </c>
    </row>
    <row r="135" spans="1:15">
      <c r="A135" t="s">
        <v>465</v>
      </c>
      <c r="D135" t="s">
        <v>465</v>
      </c>
      <c r="N135" t="s">
        <v>465</v>
      </c>
      <c r="O135" t="s">
        <v>465</v>
      </c>
    </row>
    <row r="136" spans="1:15">
      <c r="A136" t="s">
        <v>466</v>
      </c>
      <c r="D136" t="s">
        <v>466</v>
      </c>
      <c r="N136" t="s">
        <v>466</v>
      </c>
      <c r="O136" t="s">
        <v>466</v>
      </c>
    </row>
    <row r="137" spans="1:15">
      <c r="A137" t="s">
        <v>467</v>
      </c>
      <c r="D137" t="s">
        <v>467</v>
      </c>
      <c r="N137" t="s">
        <v>467</v>
      </c>
      <c r="O137" t="s">
        <v>467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19</vt:i4>
      </vt:variant>
      <vt:variant>
        <vt:lpstr>命名范围</vt:lpstr>
      </vt:variant>
      <vt:variant>
        <vt:i4>1</vt:i4>
      </vt:variant>
    </vt:vector>
  </HeadingPairs>
  <TitlesOfParts>
    <vt:vector size="20" baseType="lpstr">
      <vt:lpstr>每月任务</vt:lpstr>
      <vt:lpstr>点收单记录表</vt:lpstr>
      <vt:lpstr>审批表模板</vt:lpstr>
      <vt:lpstr>重命名文件夹</vt:lpstr>
      <vt:lpstr>重命名文件夹下文件</vt:lpstr>
      <vt:lpstr>日常文件</vt:lpstr>
      <vt:lpstr>柴油模板</vt:lpstr>
      <vt:lpstr>帕德码大桥</vt:lpstr>
      <vt:lpstr>1</vt:lpstr>
      <vt:lpstr>钢护筒换算</vt:lpstr>
      <vt:lpstr>3</vt:lpstr>
      <vt:lpstr>4</vt:lpstr>
      <vt:lpstr>5</vt:lpstr>
      <vt:lpstr>6</vt:lpstr>
      <vt:lpstr>7</vt:lpstr>
      <vt:lpstr>8</vt:lpstr>
      <vt:lpstr>9</vt:lpstr>
      <vt:lpstr>柴油换算</vt:lpstr>
      <vt:lpstr>Sheet1</vt:lpstr>
      <vt:lpstr>审批表模板!Print_Area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执笔话爱</dc:creator>
  <cp:lastModifiedBy>asus</cp:lastModifiedBy>
  <cp:lastPrinted>2019-06-25T11:57:26Z</cp:lastPrinted>
  <dcterms:created xsi:type="dcterms:W3CDTF">2017-03-12T10:24:36Z</dcterms:created>
  <dcterms:modified xsi:type="dcterms:W3CDTF">2020-06-26T09:19:44Z</dcterms:modified>
</cp:coreProperties>
</file>